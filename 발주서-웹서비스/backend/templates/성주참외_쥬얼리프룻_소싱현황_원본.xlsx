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쥬얼리프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"/>
  <sheetViews>
    <sheetView workbookViewId="0">
      <selection activeCell="A1" sqref="A1"/>
    </sheetView>
  </sheetViews>
  <sheetFormatPr baseColWidth="8" defaultRowHeight="15"/>
  <sheetData>
    <row r="2">
      <c r="B2" s="1" t="inlineStr">
        <is>
          <t>소싱현황 관리 (마진계산기)</t>
        </is>
      </c>
    </row>
    <row r="7">
      <c r="B7" s="2" t="inlineStr">
        <is>
          <t>NO</t>
        </is>
      </c>
      <c r="C7" s="2" t="inlineStr">
        <is>
          <t>상품명</t>
        </is>
      </c>
      <c r="E7" s="2" t="inlineStr">
        <is>
          <t>쿠팡 옵션</t>
        </is>
      </c>
      <c r="F7" s="2" t="inlineStr">
        <is>
          <t>수량</t>
        </is>
      </c>
      <c r="G7" s="2" t="inlineStr">
        <is>
          <t>판매가</t>
        </is>
      </c>
      <c r="H7" s="2" t="inlineStr">
        <is>
          <t>쿠폰가(최종구매가)</t>
        </is>
      </c>
      <c r="I7" s="2" t="inlineStr">
        <is>
          <t>공급가(vip)</t>
        </is>
      </c>
      <c r="K7" s="2" t="inlineStr">
        <is>
          <t>수수료(%)</t>
        </is>
      </c>
      <c r="L7" s="2" t="inlineStr">
        <is>
          <t>쿠팡수수료</t>
        </is>
      </c>
      <c r="M7" s="2" t="inlineStr">
        <is>
          <t>마진(원)</t>
        </is>
      </c>
      <c r="N7" s="2" t="inlineStr">
        <is>
          <t>마진율</t>
        </is>
      </c>
    </row>
    <row r="8">
      <c r="B8" t="n">
        <v>1</v>
      </c>
      <c r="C8" t="inlineStr">
        <is>
          <t>성주참외</t>
        </is>
      </c>
      <c r="E8" t="inlineStr">
        <is>
          <t>2kg (가정용 혼합과)</t>
        </is>
      </c>
      <c r="F8" t="n">
        <v>1</v>
      </c>
      <c r="G8" t="n">
        <v>11800</v>
      </c>
      <c r="H8" t="n">
        <v>11800</v>
      </c>
      <c r="I8" t="n">
        <v>5300</v>
      </c>
      <c r="J8" t="n">
        <v>0</v>
      </c>
      <c r="K8" t="n">
        <v>0.1166</v>
      </c>
      <c r="L8">
        <f>ROUND(H8*K8,0)</f>
        <v/>
      </c>
      <c r="M8">
        <f>H8-I8-L8</f>
        <v/>
      </c>
      <c r="N8" s="3">
        <f>IF(H8=0,0,M8/H8)</f>
        <v/>
      </c>
    </row>
    <row r="9">
      <c r="B9" t="n">
        <v>2</v>
      </c>
      <c r="C9" t="inlineStr">
        <is>
          <t>성주참외</t>
        </is>
      </c>
      <c r="E9" t="inlineStr">
        <is>
          <t>3kg (가정용 혼합과)</t>
        </is>
      </c>
      <c r="F9" t="n">
        <v>1</v>
      </c>
      <c r="G9" t="n">
        <v>15300</v>
      </c>
      <c r="H9" t="n">
        <v>15300</v>
      </c>
      <c r="I9" t="n">
        <v>6700</v>
      </c>
      <c r="J9" t="n">
        <v>0</v>
      </c>
      <c r="K9" t="n">
        <v>0.1166</v>
      </c>
      <c r="L9">
        <f>ROUND(H9*K9,0)</f>
        <v/>
      </c>
      <c r="M9">
        <f>H9-I9-L9</f>
        <v/>
      </c>
      <c r="N9" s="3">
        <f>IF(H9=0,0,M9/H9)</f>
        <v/>
      </c>
    </row>
    <row r="10">
      <c r="B10" t="n">
        <v>3</v>
      </c>
      <c r="C10" t="inlineStr">
        <is>
          <t>성주참외</t>
        </is>
      </c>
      <c r="E10" t="inlineStr">
        <is>
          <t>5kg (가정용 혼합과)</t>
        </is>
      </c>
      <c r="F10" t="n">
        <v>1</v>
      </c>
      <c r="G10" t="n">
        <v>20300</v>
      </c>
      <c r="H10" t="n">
        <v>20300</v>
      </c>
      <c r="I10" t="n">
        <v>8500</v>
      </c>
      <c r="J10" t="n">
        <v>0</v>
      </c>
      <c r="K10" t="n">
        <v>0.1166</v>
      </c>
      <c r="L10">
        <f>ROUND(H10*K10,0)</f>
        <v/>
      </c>
      <c r="M10">
        <f>H10-I10-L10</f>
        <v/>
      </c>
      <c r="N10" s="3">
        <f>IF(H10=0,0,M10/H10)</f>
        <v/>
      </c>
    </row>
    <row r="11">
      <c r="B11" t="n">
        <v>4</v>
      </c>
      <c r="C11" t="inlineStr">
        <is>
          <t>성주참외</t>
        </is>
      </c>
      <c r="E11" t="inlineStr">
        <is>
          <t>3kg (가정용 로얄과)</t>
        </is>
      </c>
      <c r="F11" t="n">
        <v>1</v>
      </c>
      <c r="G11" t="n">
        <v>19300</v>
      </c>
      <c r="H11" t="n">
        <v>19300</v>
      </c>
      <c r="I11" t="n">
        <v>7350</v>
      </c>
      <c r="J11" t="n">
        <v>0</v>
      </c>
      <c r="K11" t="n">
        <v>0.1166</v>
      </c>
      <c r="L11">
        <f>ROUND(H11*K11,0)</f>
        <v/>
      </c>
      <c r="M11">
        <f>H11-I11-L11</f>
        <v/>
      </c>
      <c r="N11" s="3">
        <f>IF(H11=0,0,M11/H11)</f>
        <v/>
      </c>
    </row>
    <row r="12">
      <c r="B12" t="n">
        <v>5</v>
      </c>
      <c r="C12" t="inlineStr">
        <is>
          <t>성주참외</t>
        </is>
      </c>
      <c r="E12" t="inlineStr">
        <is>
          <t>5kg (가정용 로얄과)</t>
        </is>
      </c>
      <c r="F12" t="n">
        <v>1</v>
      </c>
      <c r="G12" t="n">
        <v>22300</v>
      </c>
      <c r="H12" t="n">
        <v>22300</v>
      </c>
      <c r="I12" t="n">
        <v>10500</v>
      </c>
      <c r="J12" t="n">
        <v>0</v>
      </c>
      <c r="K12" t="n">
        <v>0.1166</v>
      </c>
      <c r="L12">
        <f>ROUND(H12*K12,0)</f>
        <v/>
      </c>
      <c r="M12">
        <f>H12-I12-L12</f>
        <v/>
      </c>
      <c r="N12" s="3">
        <f>IF(H12=0,0,M12/H12)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2026-06-24T05:50:56Z</dcterms:created>
  <dcterms:modified xmlns:dcterms="http://purl.org/dc/terms/" xmlns:xsi="http://www.w3.org/2001/XMLSchema-instance" xsi:type="dcterms:W3CDTF">2026-06-28T15:24:33Z</dcterms:modified>
</cp:coreProperties>
</file>