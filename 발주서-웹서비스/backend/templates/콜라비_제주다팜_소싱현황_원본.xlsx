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위탁 단가 변동 현황\"/>
    </mc:Choice>
  </mc:AlternateContent>
  <xr:revisionPtr revIDLastSave="0" documentId="13_ncr:1_{EDDEAB7C-DA1A-4A81-9BC2-B1EDAE7E4915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소싱현황" sheetId="1" r:id="rId1"/>
    <sheet name="Sheet1" sheetId="2" r:id="rId2"/>
  </sheets>
  <definedNames>
    <definedName name="_xlnm._FilterDatabase" localSheetId="0" hidden="1">소싱현황!$A$7:$AA$7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N10" i="1"/>
  <c r="N9" i="1"/>
  <c r="N8" i="1"/>
  <c r="T9" i="1" l="1"/>
  <c r="T10" i="1"/>
  <c r="T8" i="1"/>
  <c r="P10" i="1" l="1"/>
  <c r="Q10" i="1" s="1"/>
  <c r="R10" i="1" l="1"/>
  <c r="S10" i="1" s="1"/>
  <c r="P9" i="1"/>
  <c r="Q9" i="1" l="1"/>
  <c r="R9" i="1" s="1"/>
  <c r="S9" i="1" s="1"/>
  <c r="Q8" i="1"/>
  <c r="R8" i="1" s="1"/>
  <c r="U10" i="1"/>
  <c r="V10" i="1" s="1"/>
  <c r="S8" i="1" l="1"/>
  <c r="U8" i="1" s="1"/>
  <c r="V8" i="1" s="1"/>
  <c r="U9" i="1"/>
  <c r="V9" i="1" s="1"/>
</calcChain>
</file>

<file path=xl/sharedStrings.xml><?xml version="1.0" encoding="utf-8"?>
<sst xmlns="http://schemas.openxmlformats.org/spreadsheetml/2006/main" count="140" uniqueCount="83">
  <si>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</si>
  <si>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</si>
  <si>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</si>
  <si>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</si>
  <si>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</si>
  <si>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</si>
  <si>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</si>
  <si>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</si>
  <si>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</si>
  <si>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</si>
  <si>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</si>
  <si>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공급가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</si>
  <si>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</si>
  <si>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</si>
  <si>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</si>
  <si>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공급처URL2</t>
    <phoneticPr fontId="1" type="noConversion"/>
  </si>
  <si>
    <t>마케팅</t>
    <phoneticPr fontId="1" type="noConversion"/>
  </si>
  <si>
    <t>수량</t>
    <phoneticPr fontId="1" type="noConversion"/>
  </si>
  <si>
    <t>배송비</t>
    <phoneticPr fontId="1" type="noConversion"/>
  </si>
  <si>
    <t>경쟁사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</si>
  <si>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</si>
  <si>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</si>
  <si>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</si>
  <si>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콜라비</t>
    <phoneticPr fontId="1" type="noConversion"/>
  </si>
  <si>
    <t>연중</t>
  </si>
  <si>
    <t>콜라비(고품위)</t>
  </si>
  <si>
    <t>콜라비2kg(알뜰혼합과)</t>
  </si>
  <si>
    <t>▲</t>
  </si>
  <si>
    <t>콜라비3kg(알뜰혼합과)</t>
  </si>
  <si>
    <t>콜라비5kg(알뜰혼합과)</t>
  </si>
  <si>
    <t>콜라비10kg(알뜰혼합과)</t>
  </si>
  <si>
    <t>콜라비2kg(대과혼합과)</t>
  </si>
  <si>
    <t>일시품절</t>
  </si>
  <si>
    <t>-</t>
  </si>
  <si>
    <t>콜라비3kg(대과혼합과)</t>
  </si>
  <si>
    <t>콜라비5kg(대과혼합과)</t>
  </si>
  <si>
    <t>콜라비10kg(대과혼합과)</t>
  </si>
  <si>
    <t>콜라비2kg(정품혼합과)</t>
  </si>
  <si>
    <t>콜라비3kg(정품혼합과)</t>
  </si>
  <si>
    <t>콜라비5kg(정품혼합과)</t>
  </si>
  <si>
    <t>콜라비10kg(정품혼합과)</t>
  </si>
  <si>
    <t>콜라비2kg(로얄과)</t>
  </si>
  <si>
    <t>콜라비3kg(로얄과)</t>
  </si>
  <si>
    <t>콜라비5kg(로얄과)</t>
  </si>
  <si>
    <t>콜라비10kg(로얄과)</t>
  </si>
  <si>
    <t>2kg</t>
  </si>
  <si>
    <t>제주 콜라비 2kg</t>
  </si>
  <si>
    <t>3kg</t>
  </si>
  <si>
    <t>제주 콜라비 3kg</t>
  </si>
  <si>
    <t>5kg</t>
  </si>
  <si>
    <t>제주 콜라비 5kg</t>
  </si>
  <si>
    <t>10kg</t>
  </si>
  <si>
    <t>제주 콜라비 10kg</t>
  </si>
  <si>
    <t>못난이</t>
  </si>
  <si>
    <t>1월 중 공급 예정</t>
  </si>
  <si>
    <t>소과</t>
  </si>
  <si>
    <t>제주 콜라비 소과 1kg</t>
  </si>
  <si>
    <t>비과세</t>
  </si>
  <si>
    <t>제주 콜라비 로얄과 2kg</t>
  </si>
  <si>
    <t>제주 콜라비 로얄과 3kg</t>
  </si>
  <si>
    <t>제주 콜라비 로얄과 5kg</t>
  </si>
  <si>
    <t>제주 콜라비 로얄과 10kg</t>
  </si>
  <si>
    <t>제주 콜라비 못난이 3kg</t>
  </si>
  <si>
    <t>제주 콜라비 못난이 5kg</t>
  </si>
  <si>
    <t>제주 콜라비 못난이 10kg</t>
  </si>
  <si>
    <t>팡이농장</t>
    <phoneticPr fontId="1" type="noConversion"/>
  </si>
  <si>
    <t>제주담아</t>
    <phoneticPr fontId="1" type="noConversion"/>
  </si>
  <si>
    <t>3kg (2.5±)</t>
  </si>
  <si>
    <t>혼합(300-800g내외)</t>
  </si>
  <si>
    <t>제주산 콜라비 3kg</t>
  </si>
  <si>
    <t>5kg (4.5±)</t>
  </si>
  <si>
    <t>제주산 콜라비 5kg</t>
  </si>
  <si>
    <t>10kg (9±)</t>
  </si>
  <si>
    <t>제주산 콜라비 10kg</t>
  </si>
  <si>
    <t>로얄(500-700g내외)</t>
  </si>
  <si>
    <t>제주산 콜라비 3kg 특품(4-5입)</t>
  </si>
  <si>
    <t>제주산 콜라비 5kg 특품(6-9입)</t>
  </si>
  <si>
    <t>제주산 콜라비 10kg 특품(13-18입)</t>
  </si>
  <si>
    <t>마니팜</t>
    <phoneticPr fontId="1" type="noConversion"/>
  </si>
  <si>
    <t>제이비</t>
    <phoneticPr fontId="1" type="noConversion"/>
  </si>
  <si>
    <t>콜리비 정품 5kg</t>
    <phoneticPr fontId="1" type="noConversion"/>
  </si>
  <si>
    <t>콜리비 정품 10kg</t>
    <phoneticPr fontId="1" type="noConversion"/>
  </si>
  <si>
    <t>콜라비 정품 3kg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</si>
</sst>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₩&quot;#,##0_);[Red]\(&quot;₩&quot;#,##0\)"/>
    <numFmt numFmtId="177" formatCode="_-* #,##0_-;\-* #,##0_-;_-* &quot;-&quot;_-;_-@"/>
    <numFmt numFmtId="178" formatCode="0.0%"/>
    <numFmt numFmtId="179" formatCode="#,##0_ "/>
    <numFmt numFmtId="180" formatCode="[$-804]\kg"/>
    <numFmt numFmtId="181" formatCode="_ * #,##0.00_ ;_ * \-#,##0.00_ ;_ * &quot;-&quot;??_ ;_ @_ "/>
    <numFmt numFmtId="182" formatCode="0.00_);[Red]\(0.00\)"/>
  </numFmts>
  <fonts count="32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9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4"/>
      <color theme="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Malgun Gothic"/>
      <family val="2"/>
      <charset val="129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3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1"/>
      <color rgb="FFFF0000"/>
      <name val="맑은 고딕"/>
      <family val="3"/>
      <charset val="129"/>
    </font>
    <font>
      <sz val="14"/>
      <color theme="1"/>
      <name val="Arial"/>
      <family val="2"/>
      <charset val="129"/>
    </font>
    <font>
      <sz val="14"/>
      <color theme="1"/>
      <name val="Arial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80" fontId="7" fillId="0" borderId="7">
      <alignment vertical="center"/>
    </xf>
    <xf numFmtId="181" fontId="7" fillId="0" borderId="7" applyFont="0" applyFill="0" applyBorder="0" applyAlignment="0" applyProtection="0">
      <alignment vertical="center"/>
    </xf>
  </cellStyleXfs>
  <cellXfs count="98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8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82" fontId="4" fillId="0" borderId="7" xfId="0" applyNumberFormat="1" applyFont="1" applyBorder="1" applyAlignment="1">
      <alignment horizontal="center" vertical="center"/>
    </xf>
    <xf numFmtId="182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9" fontId="10" fillId="2" borderId="2" xfId="0" applyNumberFormat="1" applyFont="1" applyFill="1" applyBorder="1" applyAlignment="1">
      <alignment horizontal="center" vertical="center"/>
    </xf>
    <xf numFmtId="177" fontId="10" fillId="2" borderId="2" xfId="0" applyNumberFormat="1" applyFont="1" applyFill="1" applyBorder="1" applyAlignment="1">
      <alignment horizontal="center" vertical="center"/>
    </xf>
    <xf numFmtId="177" fontId="10" fillId="2" borderId="4" xfId="0" applyNumberFormat="1" applyFont="1" applyFill="1" applyBorder="1" applyAlignment="1">
      <alignment horizontal="center" vertical="center"/>
    </xf>
    <xf numFmtId="177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2" fontId="10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8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8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7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7" fontId="8" fillId="8" borderId="9" xfId="0" applyNumberFormat="1" applyFont="1" applyFill="1" applyBorder="1" applyAlignment="1">
      <alignment horizontal="center" vertical="center"/>
    </xf>
    <xf numFmtId="177" fontId="8" fillId="9" borderId="9" xfId="0" applyNumberFormat="1" applyFont="1" applyFill="1" applyBorder="1" applyAlignment="1">
      <alignment horizontal="center" vertical="center"/>
    </xf>
    <xf numFmtId="182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5" fillId="10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3" fontId="19" fillId="10" borderId="0" xfId="0" applyNumberFormat="1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6" fontId="2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3" fontId="23" fillId="0" borderId="2" xfId="0" applyNumberFormat="1" applyFont="1" applyBorder="1" applyAlignme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3" fontId="24" fillId="0" borderId="0" xfId="0" applyNumberFormat="1" applyFont="1" applyAlignment="1">
      <alignment vertical="center"/>
    </xf>
    <xf numFmtId="3" fontId="23" fillId="0" borderId="7" xfId="0" applyNumberFormat="1" applyFont="1" applyBorder="1" applyAlignment="1">
      <alignment vertical="center"/>
    </xf>
    <xf numFmtId="0" fontId="28" fillId="0" borderId="0" xfId="0" applyFont="1" applyAlignment="1">
      <alignment vertical="center" wrapText="1"/>
    </xf>
    <xf numFmtId="177" fontId="10" fillId="11" borderId="5" xfId="0" applyNumberFormat="1" applyFont="1" applyFill="1" applyBorder="1" applyAlignment="1">
      <alignment horizontal="center" vertical="center"/>
    </xf>
    <xf numFmtId="177" fontId="29" fillId="2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0"/>
  <sheetViews>
    <sheetView tabSelected="1" zoomScale="130" zoomScaleNormal="130" workbookViewId="0">
      <selection activeCell="I9" sqref="I9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17.42578125" style="1" customWidth="1"/>
    <col min="6" max="6" width="9" style="1" customWidth="1"/>
    <col min="7" max="7" width="9.7109375" style="1" bestFit="1" customWidth="1"/>
    <col min="8" max="8" width="2.28515625" style="1" customWidth="1"/>
    <col min="9" max="9" width="11.42578125" style="1" customWidth="1"/>
    <col min="10" max="10" width="12.42578125" style="16" bestFit="1" customWidth="1"/>
    <col min="11" max="11" width="10.28515625" style="1" bestFit="1" customWidth="1"/>
    <col min="12" max="12" width="7.28515625" style="2" bestFit="1" customWidth="1"/>
    <col min="13" max="13" width="5.42578125" style="2" customWidth="1"/>
    <col min="14" max="14" width="7" style="1" customWidth="1"/>
    <col min="15" max="15" width="0.85546875" style="1" customWidth="1"/>
    <col min="16" max="16" width="5.140625" style="1" customWidth="1"/>
    <col min="17" max="17" width="4.85546875" style="1" customWidth="1"/>
    <col min="18" max="18" width="9.28515625" style="1" customWidth="1"/>
    <col min="19" max="19" width="7.28515625" style="1" customWidth="1"/>
    <col min="20" max="20" width="5.140625" style="1" customWidth="1"/>
    <col min="21" max="21" width="6.7109375" style="1" customWidth="1"/>
    <col min="22" max="22" width="8.42578125" style="37" bestFit="1" customWidth="1"/>
    <col min="23" max="23" width="1.28515625" style="37" customWidth="1"/>
    <col min="24" max="24" width="15.28515625" style="15" hidden="1" customWidth="1"/>
    <col min="25" max="25" width="15" style="13" hidden="1" customWidth="1"/>
    <col min="26" max="26" width="15.42578125" style="13" hidden="1" customWidth="1"/>
    <col min="27" max="16384" width="14.42578125" style="1"/>
  </cols>
  <sheetData>
    <row r="1" spans="1:26" ht="15" customHeight="1" thickBot="1"/>
    <row r="2" spans="1:26" ht="15" customHeight="1">
      <c r="B2" s="85" t="s">
        <v>21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7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" customHeight="1">
      <c r="B3" s="88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90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" customHeight="1"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90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" customHeight="1" thickBo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" customHeight="1">
      <c r="A6" s="3"/>
      <c r="B6" s="4"/>
      <c r="C6" s="4"/>
      <c r="D6" s="4"/>
      <c r="E6" s="4"/>
      <c r="F6" s="4"/>
      <c r="G6" s="3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>
      <c r="A7" s="21"/>
      <c r="B7" s="45" t="s">
        <v>6</v>
      </c>
      <c r="C7" s="94" t="s">
        <v>1</v>
      </c>
      <c r="D7" s="95"/>
      <c r="E7" s="46" t="s">
        <v>14</v>
      </c>
      <c r="F7" s="46" t="s">
        <v>17</v>
      </c>
      <c r="G7" s="47" t="s">
        <v>2</v>
      </c>
      <c r="H7" s="47" t="s">
        <v>18</v>
      </c>
      <c r="I7" s="48" t="s">
        <v>11</v>
      </c>
      <c r="J7" s="49" t="s">
        <v>22</v>
      </c>
      <c r="K7" s="45" t="s">
        <v>3</v>
      </c>
      <c r="L7" s="50" t="s">
        <v>12</v>
      </c>
      <c r="M7" s="50" t="s">
        <v>4</v>
      </c>
      <c r="N7" s="48" t="s">
        <v>16</v>
      </c>
      <c r="O7" s="44"/>
      <c r="P7" s="19" t="s">
        <v>9</v>
      </c>
      <c r="Q7" s="19" t="s">
        <v>0</v>
      </c>
      <c r="R7" s="20" t="s">
        <v>10</v>
      </c>
      <c r="S7" s="19" t="s">
        <v>5</v>
      </c>
      <c r="T7" s="19" t="s">
        <v>20</v>
      </c>
      <c r="U7" s="39" t="s">
        <v>7</v>
      </c>
      <c r="V7" s="41" t="s">
        <v>8</v>
      </c>
      <c r="W7" s="43"/>
      <c r="X7" s="22" t="s">
        <v>13</v>
      </c>
      <c r="Y7" s="22" t="s">
        <v>15</v>
      </c>
      <c r="Z7" s="22" t="s">
        <v>19</v>
      </c>
    </row>
    <row r="8" spans="1:26" ht="18" customHeight="1">
      <c r="A8" s="28"/>
      <c r="B8" s="23">
        <v>2</v>
      </c>
      <c r="C8" s="96" t="s">
        <v>23</v>
      </c>
      <c r="D8" s="97"/>
      <c r="E8" s="33" t="s">
        <v>82</v>
      </c>
      <c r="F8" s="33">
        <v>1</v>
      </c>
      <c r="G8" s="25">
        <v>13400</v>
      </c>
      <c r="H8" s="24"/>
      <c r="I8" s="25">
        <v>9500</v>
      </c>
      <c r="J8" s="29">
        <v>0</v>
      </c>
      <c r="K8" s="30">
        <v>0.1166</v>
      </c>
      <c r="L8" s="31">
        <v>0</v>
      </c>
      <c r="M8" s="31">
        <v>0</v>
      </c>
      <c r="N8" s="27">
        <f>G8*0%</f>
        <v>0</v>
      </c>
      <c r="O8" s="26"/>
      <c r="P8" s="32">
        <f>(G8*K8)+(H8*3.63%)</f>
        <v>1562.4399999999998</v>
      </c>
      <c r="Q8" s="32">
        <f t="shared" ref="Q8:Q10" si="0">((G8+H8)-(I8+L8+M8+N8+P8))*0%</f>
        <v>0</v>
      </c>
      <c r="R8" s="32">
        <f t="shared" ref="R8:R9" si="1">G8+H8-I8-L8-M8-N8-P8-Q8</f>
        <v>2337.5600000000004</v>
      </c>
      <c r="S8" s="32">
        <f>R8*16%</f>
        <v>374.00960000000009</v>
      </c>
      <c r="T8" s="81">
        <f>G8*0%</f>
        <v>0</v>
      </c>
      <c r="U8" s="40">
        <f t="shared" ref="U8:U10" si="2">G8+H8-I8-L8-M8-N8-P8-Q8-S8-T8</f>
        <v>1963.5504000000003</v>
      </c>
      <c r="V8" s="42">
        <f t="shared" ref="V8:V10" si="3">IF(U8=0,"",U8/G8)</f>
        <v>0.14653361194029854</v>
      </c>
      <c r="W8" s="36"/>
      <c r="X8" s="52"/>
      <c r="Y8" s="51"/>
      <c r="Z8" s="35"/>
    </row>
    <row r="9" spans="1:26" ht="18" customHeight="1">
      <c r="A9" s="28"/>
      <c r="B9" s="23">
        <v>3</v>
      </c>
      <c r="C9" s="96" t="s">
        <v>23</v>
      </c>
      <c r="D9" s="97"/>
      <c r="E9" s="33" t="s">
        <v>80</v>
      </c>
      <c r="F9" s="33">
        <v>1</v>
      </c>
      <c r="G9" s="25">
        <v>19800</v>
      </c>
      <c r="H9" s="24"/>
      <c r="I9" s="25">
        <v>13200</v>
      </c>
      <c r="J9" s="29">
        <v>0</v>
      </c>
      <c r="K9" s="30">
        <v>0.1166</v>
      </c>
      <c r="L9" s="31">
        <v>0</v>
      </c>
      <c r="M9" s="31">
        <v>0</v>
      </c>
      <c r="N9" s="27">
        <f>G9*0%</f>
        <v>0</v>
      </c>
      <c r="O9" s="26"/>
      <c r="P9" s="32">
        <f t="shared" ref="P9" si="4">(G9*K9)+(H9*3.63%)</f>
        <v>2308.6799999999998</v>
      </c>
      <c r="Q9" s="32">
        <f t="shared" si="0"/>
        <v>0</v>
      </c>
      <c r="R9" s="32">
        <f t="shared" si="1"/>
        <v>4291.32</v>
      </c>
      <c r="S9" s="32">
        <f t="shared" ref="S9" si="5">R9*16%</f>
        <v>686.61119999999994</v>
      </c>
      <c r="T9" s="81">
        <f t="shared" ref="T9:T10" si="6">G9*0%</f>
        <v>0</v>
      </c>
      <c r="U9" s="40">
        <f t="shared" si="2"/>
        <v>3604.7087999999999</v>
      </c>
      <c r="V9" s="42">
        <f t="shared" si="3"/>
        <v>0.182056</v>
      </c>
      <c r="W9" s="36"/>
      <c r="X9" s="52"/>
      <c r="Y9" s="51"/>
      <c r="Z9" s="35"/>
    </row>
    <row r="10" spans="1:26" ht="18" customHeight="1">
      <c r="A10" s="28"/>
      <c r="B10" s="23">
        <v>4</v>
      </c>
      <c r="C10" s="96" t="s">
        <v>23</v>
      </c>
      <c r="D10" s="97"/>
      <c r="E10" s="33" t="s">
        <v>81</v>
      </c>
      <c r="F10" s="33">
        <v>1</v>
      </c>
      <c r="G10" s="25">
        <v>31600</v>
      </c>
      <c r="H10" s="24"/>
      <c r="I10" s="25">
        <v>22700</v>
      </c>
      <c r="J10" s="29">
        <v>0</v>
      </c>
      <c r="K10" s="30">
        <v>0.1166</v>
      </c>
      <c r="L10" s="31">
        <v>0</v>
      </c>
      <c r="M10" s="31">
        <v>0</v>
      </c>
      <c r="N10" s="27">
        <f>G10*0%</f>
        <v>0</v>
      </c>
      <c r="O10" s="26"/>
      <c r="P10" s="32">
        <f t="shared" ref="P10" si="7">(G10*K10)+(H10*3.63%)</f>
        <v>3684.56</v>
      </c>
      <c r="Q10" s="32">
        <f t="shared" si="0"/>
        <v>0</v>
      </c>
      <c r="R10" s="32">
        <f t="shared" ref="R10" si="8">G10+H10-I10-L10-M10-N10-P10-Q10</f>
        <v>5215.4400000000005</v>
      </c>
      <c r="S10" s="32">
        <f t="shared" ref="S10" si="9">R10*16%</f>
        <v>834.47040000000015</v>
      </c>
      <c r="T10" s="81">
        <f t="shared" si="6"/>
        <v>0</v>
      </c>
      <c r="U10" s="40">
        <f t="shared" si="2"/>
        <v>4380.9696000000004</v>
      </c>
      <c r="V10" s="42">
        <f t="shared" si="3"/>
        <v>0.13863827848101268</v>
      </c>
      <c r="W10" s="36"/>
      <c r="X10" s="52"/>
      <c r="Y10" s="51"/>
      <c r="Z10" s="35"/>
    </row>
    <row r="11" spans="1:26" ht="18" customHeight="1">
      <c r="A11" s="8"/>
      <c r="B11" s="8"/>
      <c r="C11" s="8"/>
      <c r="D11" s="8"/>
      <c r="E11" s="3"/>
      <c r="F11" s="3"/>
      <c r="G11" s="82"/>
      <c r="H11" s="9"/>
      <c r="I11" s="9"/>
      <c r="J11" s="18"/>
      <c r="K11" s="10"/>
      <c r="L11" s="11"/>
      <c r="M11" s="11"/>
      <c r="N11" s="9"/>
      <c r="O11" s="9"/>
      <c r="P11" s="9"/>
      <c r="Q11" s="9"/>
      <c r="R11" s="9"/>
      <c r="S11" s="9"/>
      <c r="T11" s="9"/>
      <c r="U11" s="9"/>
      <c r="V11" s="12"/>
      <c r="W11" s="12"/>
      <c r="X11" s="14"/>
      <c r="Y11" s="14"/>
      <c r="Z11" s="14"/>
    </row>
    <row r="12" spans="1:26" ht="18.75" customHeight="1">
      <c r="A12" s="8"/>
      <c r="B12" s="8"/>
      <c r="C12" s="8"/>
      <c r="D12" s="8"/>
      <c r="E12" s="3"/>
      <c r="F12" s="3"/>
      <c r="G12" s="9"/>
      <c r="H12" s="9"/>
      <c r="I12" s="9"/>
      <c r="J12" s="18"/>
      <c r="K12" s="8"/>
      <c r="L12" s="11"/>
      <c r="M12" s="11"/>
      <c r="N12" s="9"/>
      <c r="O12" s="9"/>
      <c r="P12" s="8"/>
      <c r="Q12" s="8"/>
      <c r="R12" s="8"/>
      <c r="S12" s="8"/>
      <c r="T12" s="8"/>
      <c r="U12" s="8"/>
      <c r="V12" s="3"/>
      <c r="W12" s="3"/>
      <c r="X12" s="14"/>
      <c r="Y12" s="14"/>
      <c r="Z12" s="14"/>
    </row>
    <row r="13" spans="1:26" ht="18.75" customHeight="1">
      <c r="A13" s="8"/>
      <c r="B13" s="8"/>
      <c r="C13" s="8"/>
      <c r="D13" s="8"/>
      <c r="E13" s="3"/>
      <c r="F13" s="3"/>
      <c r="G13" s="9"/>
      <c r="H13" s="9"/>
      <c r="I13" s="9"/>
      <c r="J13" s="18"/>
      <c r="K13" s="8"/>
      <c r="L13" s="11"/>
      <c r="M13" s="11"/>
      <c r="N13" s="9"/>
      <c r="O13" s="9"/>
      <c r="P13" s="8"/>
      <c r="Q13" s="8"/>
      <c r="R13" s="8"/>
      <c r="S13" s="8"/>
      <c r="T13" s="8"/>
      <c r="U13" s="8"/>
      <c r="V13" s="3"/>
      <c r="W13" s="3"/>
      <c r="X13" s="14"/>
      <c r="Y13" s="14"/>
      <c r="Z13" s="14"/>
    </row>
    <row r="14" spans="1:26" ht="18.75" customHeight="1">
      <c r="A14" s="8"/>
      <c r="B14" s="53"/>
      <c r="C14" s="54"/>
      <c r="D14" s="55"/>
      <c r="E14" s="56"/>
      <c r="F14" s="57"/>
      <c r="G14" s="57"/>
      <c r="H14"/>
      <c r="I14" s="9"/>
      <c r="J14" s="77"/>
      <c r="K14" s="80"/>
      <c r="L14" s="80"/>
      <c r="M14" s="11"/>
      <c r="N14" s="9"/>
      <c r="O14" s="9"/>
      <c r="P14" s="8"/>
      <c r="Q14" s="8"/>
      <c r="R14" s="8"/>
      <c r="S14" s="8"/>
      <c r="T14" s="8"/>
      <c r="U14" s="8"/>
      <c r="V14" s="3"/>
      <c r="W14" s="3"/>
      <c r="X14" s="14"/>
      <c r="Y14" s="14"/>
      <c r="Z14" s="14"/>
    </row>
    <row r="15" spans="1:26" ht="18.75" customHeight="1">
      <c r="A15" s="8"/>
      <c r="B15" s="60"/>
      <c r="C15" s="61"/>
      <c r="D15" s="62"/>
      <c r="E15" s="63"/>
      <c r="F15" s="64"/>
      <c r="G15" s="64"/>
      <c r="H15"/>
      <c r="I15" s="9"/>
      <c r="J15" s="77"/>
      <c r="K15" s="80"/>
      <c r="L15" s="80"/>
      <c r="M15" s="11"/>
      <c r="N15" s="9"/>
      <c r="O15" s="9"/>
      <c r="P15" s="8"/>
      <c r="Q15" s="8"/>
      <c r="R15" s="8"/>
      <c r="S15" s="8"/>
      <c r="T15" s="8"/>
      <c r="U15" s="8"/>
      <c r="V15" s="3"/>
      <c r="W15" s="3"/>
      <c r="X15" s="14"/>
      <c r="Y15" s="14"/>
      <c r="Z15" s="14"/>
    </row>
    <row r="16" spans="1:26" ht="18.75" customHeight="1">
      <c r="A16" s="8"/>
      <c r="B16" s="60"/>
      <c r="C16" s="61"/>
      <c r="D16" s="62"/>
      <c r="E16" s="63"/>
      <c r="F16" s="64"/>
      <c r="G16" s="64"/>
      <c r="H16"/>
      <c r="I16" s="9"/>
      <c r="J16" s="77"/>
      <c r="K16" s="80"/>
      <c r="L16" s="80"/>
      <c r="M16" s="11"/>
      <c r="N16" s="9"/>
      <c r="O16" s="9"/>
      <c r="P16" s="8"/>
      <c r="Q16" s="8"/>
      <c r="R16" s="8"/>
      <c r="S16" s="8"/>
      <c r="T16" s="8"/>
      <c r="U16" s="8"/>
      <c r="V16" s="3"/>
      <c r="W16" s="3"/>
      <c r="X16" s="14"/>
      <c r="Y16" s="14"/>
      <c r="Z16" s="14"/>
    </row>
    <row r="17" spans="1:26" ht="18.75" customHeight="1">
      <c r="A17" s="8"/>
      <c r="B17" s="53"/>
      <c r="C17" s="54"/>
      <c r="D17" s="55"/>
      <c r="E17" s="58"/>
      <c r="F17" s="59"/>
      <c r="G17" s="59"/>
      <c r="H17"/>
      <c r="I17" s="9"/>
      <c r="J17" s="77"/>
      <c r="K17" s="59"/>
      <c r="L17" s="59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>
      <c r="A18" s="8"/>
      <c r="B18" s="53"/>
      <c r="C18" s="54"/>
      <c r="D18" s="55"/>
      <c r="E18" s="56"/>
      <c r="F18" s="57"/>
      <c r="G18" s="57"/>
      <c r="H18"/>
      <c r="I18" s="9"/>
      <c r="J18" s="77"/>
      <c r="K18" s="80"/>
      <c r="L18" s="80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>
      <c r="A19" s="8"/>
      <c r="B19" s="53"/>
      <c r="C19" s="54"/>
      <c r="D19" s="55"/>
      <c r="E19" s="56"/>
      <c r="F19" s="57"/>
      <c r="G19" s="57"/>
      <c r="H19"/>
      <c r="I19" s="9"/>
      <c r="J19" s="77"/>
      <c r="K19" s="80"/>
      <c r="L19" s="80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>
      <c r="A20" s="8"/>
      <c r="B20" s="53"/>
      <c r="C20" s="54"/>
      <c r="D20" s="55"/>
      <c r="E20" s="56"/>
      <c r="F20" s="57"/>
      <c r="G20" s="57"/>
      <c r="H20"/>
      <c r="I20" s="9"/>
      <c r="J20" s="77"/>
      <c r="K20" s="80"/>
      <c r="L20" s="80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>
      <c r="A21" s="8"/>
      <c r="B21" s="53"/>
      <c r="C21" s="54"/>
      <c r="D21" s="55"/>
      <c r="E21" s="56"/>
      <c r="F21" s="57"/>
      <c r="G21" s="57"/>
      <c r="H21"/>
      <c r="I21" s="9"/>
      <c r="J21" s="77"/>
      <c r="K21" s="80"/>
      <c r="L21" s="80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>
      <c r="A22" s="8"/>
      <c r="B22" s="60"/>
      <c r="C22" s="61"/>
      <c r="D22" s="84"/>
      <c r="E22" s="63"/>
      <c r="F22" s="64"/>
      <c r="G22" s="64"/>
      <c r="H22"/>
      <c r="I22" s="9"/>
      <c r="J22" s="77"/>
      <c r="K22" s="80"/>
      <c r="L22" s="80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53"/>
      <c r="C23" s="54"/>
      <c r="D23" s="55"/>
      <c r="E23" s="56"/>
      <c r="F23" s="57"/>
      <c r="G23" s="57"/>
      <c r="H23"/>
      <c r="I23" s="9"/>
      <c r="J23" s="77"/>
      <c r="K23" s="80"/>
      <c r="L23" s="80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>
      <c r="A24" s="8"/>
      <c r="B24" s="53"/>
      <c r="C24" s="54"/>
      <c r="D24" s="55"/>
      <c r="E24" s="56"/>
      <c r="F24" s="57"/>
      <c r="G24" s="57"/>
      <c r="H24"/>
      <c r="I24" s="9"/>
      <c r="J24" s="77"/>
      <c r="K24" s="80"/>
      <c r="L24" s="80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53"/>
      <c r="C25" s="54"/>
      <c r="D25" s="55"/>
      <c r="E25" s="56"/>
      <c r="F25" s="57"/>
      <c r="G25" s="57"/>
      <c r="H25"/>
      <c r="I25" s="9"/>
      <c r="J25" s="77"/>
      <c r="K25" s="80"/>
      <c r="L25" s="80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53"/>
      <c r="C26" s="54"/>
      <c r="D26" s="55"/>
      <c r="E26" s="56"/>
      <c r="F26" s="57"/>
      <c r="G26" s="57"/>
      <c r="H26"/>
      <c r="I26" s="9"/>
      <c r="J26" s="77"/>
      <c r="K26" s="80"/>
      <c r="L26" s="80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53"/>
      <c r="C27" s="54"/>
      <c r="D27" s="55"/>
      <c r="E27" s="56"/>
      <c r="F27" s="57"/>
      <c r="G27" s="57"/>
      <c r="H27"/>
      <c r="I27" s="9"/>
      <c r="J27" s="77"/>
      <c r="K27" s="80"/>
      <c r="L27" s="80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53"/>
      <c r="C28" s="54"/>
      <c r="D28" s="83"/>
      <c r="E28" s="56"/>
      <c r="F28" s="57"/>
      <c r="G28" s="57"/>
      <c r="H28"/>
      <c r="I28" s="9"/>
      <c r="J28" s="77"/>
      <c r="K28" s="80"/>
      <c r="L28" s="80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8.75" customHeight="1">
      <c r="A902" s="8"/>
      <c r="B902" s="8"/>
      <c r="C902" s="8"/>
      <c r="D902" s="8"/>
      <c r="E902" s="3"/>
      <c r="F902" s="3"/>
      <c r="G902" s="9"/>
      <c r="H902" s="9"/>
      <c r="I902" s="9"/>
      <c r="J902" s="18"/>
      <c r="K902" s="8"/>
      <c r="L902" s="11"/>
      <c r="M902" s="11"/>
      <c r="N902" s="9"/>
      <c r="O902" s="9"/>
      <c r="P902" s="8"/>
      <c r="Q902" s="8"/>
      <c r="R902" s="8"/>
      <c r="S902" s="8"/>
      <c r="T902" s="8"/>
      <c r="U902" s="8"/>
      <c r="V902" s="3"/>
      <c r="W902" s="3"/>
      <c r="X902" s="14"/>
      <c r="Y902" s="14"/>
      <c r="Z902" s="14"/>
    </row>
    <row r="903" spans="1:26" ht="18.75" customHeight="1">
      <c r="A903" s="8"/>
      <c r="B903" s="8"/>
      <c r="C903" s="8"/>
      <c r="D903" s="8"/>
      <c r="E903" s="3"/>
      <c r="F903" s="3"/>
      <c r="G903" s="9"/>
      <c r="H903" s="9"/>
      <c r="I903" s="9"/>
      <c r="J903" s="18"/>
      <c r="K903" s="8"/>
      <c r="L903" s="11"/>
      <c r="M903" s="11"/>
      <c r="N903" s="9"/>
      <c r="O903" s="9"/>
      <c r="P903" s="8"/>
      <c r="Q903" s="8"/>
      <c r="R903" s="8"/>
      <c r="S903" s="8"/>
      <c r="T903" s="8"/>
      <c r="U903" s="8"/>
      <c r="V903" s="3"/>
      <c r="W903" s="3"/>
      <c r="X903" s="14"/>
      <c r="Y903" s="14"/>
      <c r="Z903" s="14"/>
    </row>
    <row r="904" spans="1:26" ht="18.75" customHeight="1">
      <c r="A904" s="8"/>
      <c r="B904" s="8"/>
      <c r="C904" s="8"/>
      <c r="D904" s="8"/>
      <c r="E904" s="3"/>
      <c r="F904" s="3"/>
      <c r="G904" s="9"/>
      <c r="H904" s="9"/>
      <c r="I904" s="9"/>
      <c r="J904" s="18"/>
      <c r="K904" s="8"/>
      <c r="L904" s="11"/>
      <c r="M904" s="11"/>
      <c r="N904" s="9"/>
      <c r="O904" s="9"/>
      <c r="P904" s="8"/>
      <c r="Q904" s="8"/>
      <c r="R904" s="8"/>
      <c r="S904" s="8"/>
      <c r="T904" s="8"/>
      <c r="U904" s="8"/>
      <c r="V904" s="3"/>
      <c r="W904" s="3"/>
      <c r="X904" s="14"/>
      <c r="Y904" s="14"/>
      <c r="Z904" s="14"/>
    </row>
    <row r="905" spans="1:26" ht="18.75" customHeight="1">
      <c r="A905" s="8"/>
      <c r="B905" s="8"/>
      <c r="C905" s="8"/>
      <c r="D905" s="8"/>
      <c r="E905" s="3"/>
      <c r="F905" s="3"/>
      <c r="G905" s="9"/>
      <c r="H905" s="9"/>
      <c r="I905" s="9"/>
      <c r="J905" s="18"/>
      <c r="K905" s="8"/>
      <c r="L905" s="11"/>
      <c r="M905" s="11"/>
      <c r="N905" s="9"/>
      <c r="O905" s="9"/>
      <c r="P905" s="8"/>
      <c r="Q905" s="8"/>
      <c r="R905" s="8"/>
      <c r="S905" s="8"/>
      <c r="T905" s="8"/>
      <c r="U905" s="8"/>
      <c r="V905" s="3"/>
      <c r="W905" s="3"/>
      <c r="X905" s="14"/>
      <c r="Y905" s="14"/>
      <c r="Z905" s="14"/>
    </row>
    <row r="906" spans="1:26" ht="18.75" customHeight="1">
      <c r="A906" s="8"/>
      <c r="B906" s="8"/>
      <c r="C906" s="8"/>
      <c r="D906" s="8"/>
      <c r="E906" s="3"/>
      <c r="F906" s="3"/>
      <c r="G906" s="9"/>
      <c r="H906" s="9"/>
      <c r="I906" s="9"/>
      <c r="J906" s="18"/>
      <c r="K906" s="8"/>
      <c r="L906" s="11"/>
      <c r="M906" s="11"/>
      <c r="N906" s="9"/>
      <c r="O906" s="9"/>
      <c r="P906" s="8"/>
      <c r="Q906" s="8"/>
      <c r="R906" s="8"/>
      <c r="S906" s="8"/>
      <c r="T906" s="8"/>
      <c r="U906" s="8"/>
      <c r="V906" s="3"/>
      <c r="W906" s="3"/>
      <c r="X906" s="14"/>
      <c r="Y906" s="14"/>
      <c r="Z906" s="14"/>
    </row>
    <row r="907" spans="1:26" ht="18.75" customHeight="1">
      <c r="A907" s="8"/>
      <c r="B907" s="8"/>
      <c r="C907" s="8"/>
      <c r="D907" s="8"/>
      <c r="E907" s="3"/>
      <c r="F907" s="3"/>
      <c r="G907" s="9"/>
      <c r="H907" s="9"/>
      <c r="I907" s="9"/>
      <c r="J907" s="18"/>
      <c r="K907" s="8"/>
      <c r="L907" s="11"/>
      <c r="M907" s="11"/>
      <c r="N907" s="9"/>
      <c r="O907" s="9"/>
      <c r="P907" s="8"/>
      <c r="Q907" s="8"/>
      <c r="R907" s="8"/>
      <c r="S907" s="8"/>
      <c r="T907" s="8"/>
      <c r="U907" s="8"/>
      <c r="V907" s="3"/>
      <c r="W907" s="3"/>
      <c r="X907" s="14"/>
      <c r="Y907" s="14"/>
      <c r="Z907" s="14"/>
    </row>
    <row r="908" spans="1:26" ht="18.75" customHeight="1">
      <c r="A908" s="8"/>
      <c r="B908" s="8"/>
      <c r="C908" s="8"/>
      <c r="D908" s="8"/>
      <c r="E908" s="3"/>
      <c r="F908" s="3"/>
      <c r="G908" s="9"/>
      <c r="H908" s="9"/>
      <c r="I908" s="9"/>
      <c r="J908" s="18"/>
      <c r="K908" s="8"/>
      <c r="L908" s="11"/>
      <c r="M908" s="11"/>
      <c r="N908" s="9"/>
      <c r="O908" s="9"/>
      <c r="P908" s="8"/>
      <c r="Q908" s="8"/>
      <c r="R908" s="8"/>
      <c r="S908" s="8"/>
      <c r="T908" s="8"/>
      <c r="U908" s="8"/>
      <c r="V908" s="3"/>
      <c r="W908" s="3"/>
      <c r="X908" s="14"/>
      <c r="Y908" s="14"/>
      <c r="Z908" s="14"/>
    </row>
    <row r="909" spans="1:26" ht="18.75" customHeight="1">
      <c r="A909" s="8"/>
      <c r="B909" s="8"/>
      <c r="C909" s="8"/>
      <c r="D909" s="8"/>
      <c r="E909" s="3"/>
      <c r="F909" s="3"/>
      <c r="G909" s="9"/>
      <c r="H909" s="9"/>
      <c r="I909" s="9"/>
      <c r="J909" s="18"/>
      <c r="K909" s="8"/>
      <c r="L909" s="11"/>
      <c r="M909" s="11"/>
      <c r="N909" s="9"/>
      <c r="O909" s="9"/>
      <c r="P909" s="8"/>
      <c r="Q909" s="8"/>
      <c r="R909" s="8"/>
      <c r="S909" s="8"/>
      <c r="T909" s="8"/>
      <c r="U909" s="8"/>
      <c r="V909" s="3"/>
      <c r="W909" s="3"/>
      <c r="X909" s="14"/>
      <c r="Y909" s="14"/>
      <c r="Z909" s="14"/>
    </row>
    <row r="910" spans="1:26" ht="18.75" customHeight="1">
      <c r="A910" s="8"/>
      <c r="B910" s="8"/>
      <c r="C910" s="8"/>
      <c r="D910" s="8"/>
      <c r="E910" s="3"/>
      <c r="F910" s="3"/>
      <c r="G910" s="9"/>
      <c r="H910" s="9"/>
      <c r="I910" s="9"/>
      <c r="J910" s="18"/>
      <c r="K910" s="8"/>
      <c r="L910" s="11"/>
      <c r="M910" s="11"/>
      <c r="N910" s="9"/>
      <c r="O910" s="9"/>
      <c r="P910" s="8"/>
      <c r="Q910" s="8"/>
      <c r="R910" s="8"/>
      <c r="S910" s="8"/>
      <c r="T910" s="8"/>
      <c r="U910" s="8"/>
      <c r="V910" s="3"/>
      <c r="W910" s="3"/>
      <c r="X910" s="14"/>
      <c r="Y910" s="14"/>
      <c r="Z910" s="14"/>
    </row>
    <row r="911" spans="1:26" ht="18.75" customHeight="1">
      <c r="A911" s="8"/>
      <c r="B911" s="8"/>
      <c r="C911" s="8"/>
      <c r="D911" s="8"/>
      <c r="E911" s="3"/>
      <c r="F911" s="3"/>
      <c r="G911" s="9"/>
      <c r="H911" s="9"/>
      <c r="I911" s="9"/>
      <c r="J911" s="18"/>
      <c r="K911" s="8"/>
      <c r="L911" s="11"/>
      <c r="M911" s="11"/>
      <c r="N911" s="9"/>
      <c r="O911" s="9"/>
      <c r="P911" s="8"/>
      <c r="Q911" s="8"/>
      <c r="R911" s="8"/>
      <c r="S911" s="8"/>
      <c r="T911" s="8"/>
      <c r="U911" s="8"/>
      <c r="V911" s="3"/>
      <c r="W911" s="3"/>
      <c r="X911" s="14"/>
      <c r="Y911" s="14"/>
      <c r="Z911" s="14"/>
    </row>
    <row r="912" spans="1:26" ht="18.75" customHeight="1">
      <c r="A912" s="8"/>
      <c r="B912" s="8"/>
      <c r="C912" s="8"/>
      <c r="D912" s="8"/>
      <c r="E912" s="3"/>
      <c r="F912" s="3"/>
      <c r="G912" s="9"/>
      <c r="H912" s="9"/>
      <c r="I912" s="9"/>
      <c r="J912" s="18"/>
      <c r="K912" s="8"/>
      <c r="L912" s="11"/>
      <c r="M912" s="11"/>
      <c r="N912" s="9"/>
      <c r="O912" s="9"/>
      <c r="P912" s="8"/>
      <c r="Q912" s="8"/>
      <c r="R912" s="8"/>
      <c r="S912" s="8"/>
      <c r="T912" s="8"/>
      <c r="U912" s="8"/>
      <c r="V912" s="3"/>
      <c r="W912" s="3"/>
      <c r="X912" s="14"/>
      <c r="Y912" s="14"/>
      <c r="Z912" s="14"/>
    </row>
    <row r="913" spans="1:26" ht="18.75" customHeight="1">
      <c r="A913" s="8"/>
      <c r="B913" s="8"/>
      <c r="C913" s="8"/>
      <c r="D913" s="8"/>
      <c r="E913" s="3"/>
      <c r="F913" s="3"/>
      <c r="G913" s="9"/>
      <c r="H913" s="9"/>
      <c r="I913" s="9"/>
      <c r="J913" s="18"/>
      <c r="K913" s="8"/>
      <c r="L913" s="11"/>
      <c r="M913" s="11"/>
      <c r="N913" s="9"/>
      <c r="O913" s="9"/>
      <c r="P913" s="8"/>
      <c r="Q913" s="8"/>
      <c r="R913" s="8"/>
      <c r="S913" s="8"/>
      <c r="T913" s="8"/>
      <c r="U913" s="8"/>
      <c r="V913" s="3"/>
      <c r="W913" s="3"/>
      <c r="X913" s="14"/>
      <c r="Y913" s="14"/>
      <c r="Z913" s="14"/>
    </row>
    <row r="914" spans="1:26" ht="18.75" customHeight="1">
      <c r="A914" s="8"/>
      <c r="B914" s="8"/>
      <c r="C914" s="8"/>
      <c r="D914" s="8"/>
      <c r="E914" s="3"/>
      <c r="F914" s="3"/>
      <c r="G914" s="9"/>
      <c r="H914" s="9"/>
      <c r="I914" s="9"/>
      <c r="J914" s="18"/>
      <c r="K914" s="8"/>
      <c r="L914" s="11"/>
      <c r="M914" s="11"/>
      <c r="N914" s="9"/>
      <c r="O914" s="9"/>
      <c r="P914" s="8"/>
      <c r="Q914" s="8"/>
      <c r="R914" s="8"/>
      <c r="S914" s="8"/>
      <c r="T914" s="8"/>
      <c r="U914" s="8"/>
      <c r="V914" s="3"/>
      <c r="W914" s="3"/>
      <c r="X914" s="14"/>
      <c r="Y914" s="14"/>
      <c r="Z914" s="14"/>
    </row>
    <row r="915" spans="1:26" ht="18.75" customHeight="1">
      <c r="A915" s="8"/>
      <c r="B915" s="8"/>
      <c r="C915" s="8"/>
      <c r="D915" s="8"/>
      <c r="E915" s="3"/>
      <c r="F915" s="3"/>
      <c r="G915" s="9"/>
      <c r="H915" s="9"/>
      <c r="I915" s="9"/>
      <c r="J915" s="18"/>
      <c r="K915" s="8"/>
      <c r="L915" s="11"/>
      <c r="M915" s="11"/>
      <c r="N915" s="9"/>
      <c r="O915" s="9"/>
      <c r="P915" s="8"/>
      <c r="Q915" s="8"/>
      <c r="R915" s="8"/>
      <c r="S915" s="8"/>
      <c r="T915" s="8"/>
      <c r="U915" s="8"/>
      <c r="V915" s="3"/>
      <c r="W915" s="3"/>
      <c r="X915" s="14"/>
      <c r="Y915" s="14"/>
      <c r="Z915" s="14"/>
    </row>
    <row r="916" spans="1:26" ht="18.75" customHeight="1">
      <c r="A916" s="8"/>
      <c r="B916" s="8"/>
      <c r="C916" s="8"/>
      <c r="D916" s="8"/>
      <c r="E916" s="3"/>
      <c r="F916" s="3"/>
      <c r="G916" s="9"/>
      <c r="H916" s="9"/>
      <c r="I916" s="9"/>
      <c r="J916" s="18"/>
      <c r="K916" s="8"/>
      <c r="L916" s="11"/>
      <c r="M916" s="11"/>
      <c r="N916" s="9"/>
      <c r="O916" s="9"/>
      <c r="P916" s="8"/>
      <c r="Q916" s="8"/>
      <c r="R916" s="8"/>
      <c r="S916" s="8"/>
      <c r="T916" s="8"/>
      <c r="U916" s="8"/>
      <c r="V916" s="3"/>
      <c r="W916" s="3"/>
      <c r="X916" s="14"/>
      <c r="Y916" s="14"/>
      <c r="Z916" s="14"/>
    </row>
    <row r="917" spans="1:26" ht="18.75" customHeight="1">
      <c r="A917" s="8"/>
      <c r="B917" s="8"/>
      <c r="C917" s="8"/>
      <c r="D917" s="8"/>
      <c r="E917" s="3"/>
      <c r="F917" s="3"/>
      <c r="G917" s="9"/>
      <c r="H917" s="9"/>
      <c r="I917" s="9"/>
      <c r="J917" s="18"/>
      <c r="K917" s="8"/>
      <c r="L917" s="11"/>
      <c r="M917" s="11"/>
      <c r="N917" s="9"/>
      <c r="O917" s="9"/>
      <c r="P917" s="8"/>
      <c r="Q917" s="8"/>
      <c r="R917" s="8"/>
      <c r="S917" s="8"/>
      <c r="T917" s="8"/>
      <c r="U917" s="8"/>
      <c r="V917" s="3"/>
      <c r="W917" s="3"/>
      <c r="X917" s="14"/>
      <c r="Y917" s="14"/>
      <c r="Z917" s="14"/>
    </row>
    <row r="918" spans="1:26" ht="18.75" customHeight="1">
      <c r="A918" s="8"/>
      <c r="B918" s="8"/>
      <c r="C918" s="8"/>
      <c r="D918" s="8"/>
      <c r="E918" s="3"/>
      <c r="F918" s="3"/>
      <c r="G918" s="9"/>
      <c r="H918" s="9"/>
      <c r="I918" s="9"/>
      <c r="J918" s="18"/>
      <c r="K918" s="8"/>
      <c r="L918" s="11"/>
      <c r="M918" s="11"/>
      <c r="N918" s="9"/>
      <c r="O918" s="9"/>
      <c r="P918" s="8"/>
      <c r="Q918" s="8"/>
      <c r="R918" s="8"/>
      <c r="S918" s="8"/>
      <c r="T918" s="8"/>
      <c r="U918" s="8"/>
      <c r="V918" s="3"/>
      <c r="W918" s="3"/>
      <c r="X918" s="14"/>
      <c r="Y918" s="14"/>
      <c r="Z918" s="14"/>
    </row>
    <row r="919" spans="1:26" ht="18.75" customHeight="1">
      <c r="A919" s="8"/>
      <c r="B919" s="8"/>
      <c r="C919" s="8"/>
      <c r="D919" s="8"/>
      <c r="E919" s="3"/>
      <c r="F919" s="3"/>
      <c r="G919" s="9"/>
      <c r="H919" s="9"/>
      <c r="I919" s="9"/>
      <c r="J919" s="18"/>
      <c r="K919" s="8"/>
      <c r="L919" s="11"/>
      <c r="M919" s="11"/>
      <c r="N919" s="9"/>
      <c r="O919" s="9"/>
      <c r="P919" s="8"/>
      <c r="Q919" s="8"/>
      <c r="R919" s="8"/>
      <c r="S919" s="8"/>
      <c r="T919" s="8"/>
      <c r="U919" s="8"/>
      <c r="V919" s="3"/>
      <c r="W919" s="3"/>
      <c r="X919" s="14"/>
      <c r="Y919" s="14"/>
      <c r="Z919" s="14"/>
    </row>
    <row r="920" spans="1:26" ht="18.75" customHeight="1">
      <c r="A920" s="8"/>
      <c r="B920" s="8"/>
      <c r="C920" s="8"/>
      <c r="D920" s="8"/>
      <c r="E920" s="3"/>
      <c r="F920" s="3"/>
      <c r="G920" s="9"/>
      <c r="H920" s="9"/>
      <c r="I920" s="9"/>
      <c r="J920" s="18"/>
      <c r="K920" s="8"/>
      <c r="L920" s="11"/>
      <c r="M920" s="11"/>
      <c r="N920" s="9"/>
      <c r="O920" s="9"/>
      <c r="P920" s="8"/>
      <c r="Q920" s="8"/>
      <c r="R920" s="8"/>
      <c r="S920" s="8"/>
      <c r="T920" s="8"/>
      <c r="U920" s="8"/>
      <c r="V920" s="3"/>
      <c r="W920" s="3"/>
      <c r="X920" s="14"/>
      <c r="Y920" s="14"/>
      <c r="Z920" s="14"/>
    </row>
    <row r="921" spans="1:26" ht="18.75" customHeight="1">
      <c r="A921" s="8"/>
      <c r="B921" s="8"/>
      <c r="C921" s="8"/>
      <c r="D921" s="8"/>
      <c r="E921" s="3"/>
      <c r="F921" s="3"/>
      <c r="G921" s="9"/>
      <c r="H921" s="9"/>
      <c r="I921" s="9"/>
      <c r="J921" s="18"/>
      <c r="K921" s="8"/>
      <c r="L921" s="11"/>
      <c r="M921" s="11"/>
      <c r="N921" s="9"/>
      <c r="O921" s="9"/>
      <c r="P921" s="8"/>
      <c r="Q921" s="8"/>
      <c r="R921" s="8"/>
      <c r="S921" s="8"/>
      <c r="T921" s="8"/>
      <c r="U921" s="8"/>
      <c r="V921" s="3"/>
      <c r="W921" s="3"/>
      <c r="X921" s="14"/>
      <c r="Y921" s="14"/>
      <c r="Z921" s="14"/>
    </row>
    <row r="922" spans="1:26" ht="18.75" customHeight="1">
      <c r="A922" s="8"/>
      <c r="B922" s="8"/>
      <c r="C922" s="8"/>
      <c r="D922" s="8"/>
      <c r="E922" s="3"/>
      <c r="F922" s="3"/>
      <c r="G922" s="9"/>
      <c r="H922" s="9"/>
      <c r="I922" s="9"/>
      <c r="J922" s="18"/>
      <c r="K922" s="8"/>
      <c r="L922" s="11"/>
      <c r="M922" s="11"/>
      <c r="N922" s="9"/>
      <c r="O922" s="9"/>
      <c r="P922" s="8"/>
      <c r="Q922" s="8"/>
      <c r="R922" s="8"/>
      <c r="S922" s="8"/>
      <c r="T922" s="8"/>
      <c r="U922" s="8"/>
      <c r="V922" s="3"/>
      <c r="W922" s="3"/>
      <c r="X922" s="14"/>
      <c r="Y922" s="14"/>
      <c r="Z922" s="14"/>
    </row>
    <row r="923" spans="1:26" ht="18.75" customHeight="1">
      <c r="A923" s="8"/>
      <c r="B923" s="8"/>
      <c r="C923" s="8"/>
      <c r="D923" s="8"/>
      <c r="E923" s="3"/>
      <c r="F923" s="3"/>
      <c r="G923" s="9"/>
      <c r="H923" s="9"/>
      <c r="I923" s="9"/>
      <c r="J923" s="18"/>
      <c r="K923" s="8"/>
      <c r="L923" s="11"/>
      <c r="M923" s="11"/>
      <c r="N923" s="9"/>
      <c r="O923" s="9"/>
      <c r="P923" s="8"/>
      <c r="Q923" s="8"/>
      <c r="R923" s="8"/>
      <c r="S923" s="8"/>
      <c r="T923" s="8"/>
      <c r="U923" s="8"/>
      <c r="V923" s="3"/>
      <c r="W923" s="3"/>
      <c r="X923" s="14"/>
      <c r="Y923" s="14"/>
      <c r="Z923" s="14"/>
    </row>
    <row r="924" spans="1:26" ht="18.75" customHeight="1">
      <c r="A924" s="8"/>
      <c r="B924" s="8"/>
      <c r="C924" s="8"/>
      <c r="D924" s="8"/>
      <c r="E924" s="3"/>
      <c r="F924" s="3"/>
      <c r="G924" s="9"/>
      <c r="H924" s="9"/>
      <c r="I924" s="9"/>
      <c r="J924" s="18"/>
      <c r="K924" s="8"/>
      <c r="L924" s="11"/>
      <c r="M924" s="11"/>
      <c r="N924" s="9"/>
      <c r="O924" s="9"/>
      <c r="P924" s="8"/>
      <c r="Q924" s="8"/>
      <c r="R924" s="8"/>
      <c r="S924" s="8"/>
      <c r="T924" s="8"/>
      <c r="U924" s="8"/>
      <c r="V924" s="3"/>
      <c r="W924" s="3"/>
      <c r="X924" s="14"/>
      <c r="Y924" s="14"/>
      <c r="Z924" s="14"/>
    </row>
    <row r="925" spans="1:26" ht="18.75" customHeight="1">
      <c r="A925" s="8"/>
      <c r="B925" s="8"/>
      <c r="C925" s="8"/>
      <c r="D925" s="8"/>
      <c r="E925" s="3"/>
      <c r="F925" s="3"/>
      <c r="G925" s="9"/>
      <c r="H925" s="9"/>
      <c r="I925" s="9"/>
      <c r="J925" s="18"/>
      <c r="K925" s="8"/>
      <c r="L925" s="11"/>
      <c r="M925" s="11"/>
      <c r="N925" s="9"/>
      <c r="O925" s="9"/>
      <c r="P925" s="8"/>
      <c r="Q925" s="8"/>
      <c r="R925" s="8"/>
      <c r="S925" s="8"/>
      <c r="T925" s="8"/>
      <c r="U925" s="8"/>
      <c r="V925" s="3"/>
      <c r="W925" s="3"/>
      <c r="X925" s="14"/>
      <c r="Y925" s="14"/>
      <c r="Z925" s="14"/>
    </row>
    <row r="926" spans="1:26" ht="18.75" customHeight="1">
      <c r="A926" s="8"/>
      <c r="B926" s="8"/>
      <c r="C926" s="8"/>
      <c r="D926" s="8"/>
      <c r="E926" s="3"/>
      <c r="F926" s="3"/>
      <c r="G926" s="9"/>
      <c r="H926" s="9"/>
      <c r="I926" s="9"/>
      <c r="J926" s="18"/>
      <c r="K926" s="8"/>
      <c r="L926" s="11"/>
      <c r="M926" s="11"/>
      <c r="N926" s="9"/>
      <c r="O926" s="9"/>
      <c r="P926" s="8"/>
      <c r="Q926" s="8"/>
      <c r="R926" s="8"/>
      <c r="S926" s="8"/>
      <c r="T926" s="8"/>
      <c r="U926" s="8"/>
      <c r="V926" s="3"/>
      <c r="W926" s="3"/>
      <c r="X926" s="14"/>
      <c r="Y926" s="14"/>
      <c r="Z926" s="14"/>
    </row>
    <row r="927" spans="1:26" ht="18.75" customHeight="1">
      <c r="A927" s="8"/>
      <c r="B927" s="8"/>
      <c r="C927" s="8"/>
      <c r="D927" s="8"/>
      <c r="E927" s="3"/>
      <c r="F927" s="3"/>
      <c r="G927" s="9"/>
      <c r="H927" s="9"/>
      <c r="I927" s="9"/>
      <c r="J927" s="18"/>
      <c r="K927" s="8"/>
      <c r="L927" s="11"/>
      <c r="M927" s="11"/>
      <c r="N927" s="9"/>
      <c r="O927" s="9"/>
      <c r="P927" s="8"/>
      <c r="Q927" s="8"/>
      <c r="R927" s="8"/>
      <c r="S927" s="8"/>
      <c r="T927" s="8"/>
      <c r="U927" s="8"/>
      <c r="V927" s="3"/>
      <c r="W927" s="3"/>
      <c r="X927" s="14"/>
      <c r="Y927" s="14"/>
      <c r="Z927" s="14"/>
    </row>
    <row r="928" spans="1:26" ht="18.75" customHeight="1">
      <c r="A928" s="8"/>
      <c r="B928" s="8"/>
      <c r="C928" s="8"/>
      <c r="D928" s="8"/>
      <c r="E928" s="3"/>
      <c r="F928" s="3"/>
      <c r="G928" s="9"/>
      <c r="H928" s="9"/>
      <c r="I928" s="9"/>
      <c r="J928" s="18"/>
      <c r="K928" s="8"/>
      <c r="L928" s="11"/>
      <c r="M928" s="11"/>
      <c r="N928" s="9"/>
      <c r="O928" s="9"/>
      <c r="P928" s="8"/>
      <c r="Q928" s="8"/>
      <c r="R928" s="8"/>
      <c r="S928" s="8"/>
      <c r="T928" s="8"/>
      <c r="U928" s="8"/>
      <c r="V928" s="3"/>
      <c r="W928" s="3"/>
      <c r="X928" s="14"/>
      <c r="Y928" s="14"/>
      <c r="Z928" s="14"/>
    </row>
    <row r="929" spans="1:26" ht="18.75" customHeight="1">
      <c r="A929" s="8"/>
      <c r="B929" s="8"/>
      <c r="C929" s="8"/>
      <c r="D929" s="8"/>
      <c r="E929" s="3"/>
      <c r="F929" s="3"/>
      <c r="G929" s="9"/>
      <c r="H929" s="9"/>
      <c r="I929" s="9"/>
      <c r="J929" s="18"/>
      <c r="K929" s="8"/>
      <c r="L929" s="11"/>
      <c r="M929" s="11"/>
      <c r="N929" s="9"/>
      <c r="O929" s="9"/>
      <c r="P929" s="8"/>
      <c r="Q929" s="8"/>
      <c r="R929" s="8"/>
      <c r="S929" s="8"/>
      <c r="T929" s="8"/>
      <c r="U929" s="8"/>
      <c r="V929" s="3"/>
      <c r="W929" s="3"/>
      <c r="X929" s="14"/>
      <c r="Y929" s="14"/>
      <c r="Z929" s="14"/>
    </row>
    <row r="930" spans="1:26" ht="18.75" customHeight="1">
      <c r="A930" s="8"/>
      <c r="B930" s="8"/>
      <c r="C930" s="8"/>
      <c r="D930" s="8"/>
      <c r="E930" s="3"/>
      <c r="F930" s="3"/>
      <c r="G930" s="9"/>
      <c r="H930" s="9"/>
      <c r="I930" s="9"/>
      <c r="J930" s="18"/>
      <c r="K930" s="8"/>
      <c r="L930" s="11"/>
      <c r="M930" s="11"/>
      <c r="N930" s="9"/>
      <c r="O930" s="9"/>
      <c r="P930" s="8"/>
      <c r="Q930" s="8"/>
      <c r="R930" s="8"/>
      <c r="S930" s="8"/>
      <c r="T930" s="8"/>
      <c r="U930" s="8"/>
      <c r="V930" s="3"/>
      <c r="W930" s="3"/>
      <c r="X930" s="14"/>
      <c r="Y930" s="14"/>
      <c r="Z930" s="14"/>
    </row>
    <row r="931" spans="1:26" ht="18.75" customHeight="1">
      <c r="A931" s="8"/>
      <c r="B931" s="8"/>
      <c r="C931" s="8"/>
      <c r="D931" s="8"/>
      <c r="E931" s="3"/>
      <c r="F931" s="3"/>
      <c r="G931" s="9"/>
      <c r="H931" s="9"/>
      <c r="I931" s="9"/>
      <c r="J931" s="18"/>
      <c r="K931" s="8"/>
      <c r="L931" s="11"/>
      <c r="M931" s="11"/>
      <c r="N931" s="9"/>
      <c r="O931" s="9"/>
      <c r="P931" s="8"/>
      <c r="Q931" s="8"/>
      <c r="R931" s="8"/>
      <c r="S931" s="8"/>
      <c r="T931" s="8"/>
      <c r="U931" s="8"/>
      <c r="V931" s="3"/>
      <c r="W931" s="3"/>
      <c r="X931" s="14"/>
      <c r="Y931" s="14"/>
      <c r="Z931" s="14"/>
    </row>
    <row r="932" spans="1:26" ht="18.75" customHeight="1">
      <c r="A932" s="8"/>
      <c r="B932" s="8"/>
      <c r="C932" s="8"/>
      <c r="D932" s="8"/>
      <c r="E932" s="3"/>
      <c r="F932" s="3"/>
      <c r="G932" s="9"/>
      <c r="H932" s="9"/>
      <c r="I932" s="9"/>
      <c r="J932" s="18"/>
      <c r="K932" s="8"/>
      <c r="L932" s="11"/>
      <c r="M932" s="11"/>
      <c r="N932" s="9"/>
      <c r="O932" s="9"/>
      <c r="P932" s="8"/>
      <c r="Q932" s="8"/>
      <c r="R932" s="8"/>
      <c r="S932" s="8"/>
      <c r="T932" s="8"/>
      <c r="U932" s="8"/>
      <c r="V932" s="3"/>
      <c r="W932" s="3"/>
      <c r="X932" s="14"/>
      <c r="Y932" s="14"/>
      <c r="Z932" s="14"/>
    </row>
    <row r="933" spans="1:26" ht="18.75" customHeight="1">
      <c r="A933" s="8"/>
      <c r="B933" s="8"/>
      <c r="C933" s="8"/>
      <c r="D933" s="8"/>
      <c r="E933" s="3"/>
      <c r="F933" s="3"/>
      <c r="G933" s="9"/>
      <c r="H933" s="9"/>
      <c r="I933" s="9"/>
      <c r="J933" s="18"/>
      <c r="K933" s="8"/>
      <c r="L933" s="11"/>
      <c r="M933" s="11"/>
      <c r="N933" s="9"/>
      <c r="O933" s="9"/>
      <c r="P933" s="8"/>
      <c r="Q933" s="8"/>
      <c r="R933" s="8"/>
      <c r="S933" s="8"/>
      <c r="T933" s="8"/>
      <c r="U933" s="8"/>
      <c r="V933" s="3"/>
      <c r="W933" s="3"/>
      <c r="X933" s="14"/>
      <c r="Y933" s="14"/>
      <c r="Z933" s="14"/>
    </row>
    <row r="934" spans="1:26" ht="18.75" customHeight="1">
      <c r="A934" s="8"/>
      <c r="B934" s="8"/>
      <c r="C934" s="8"/>
      <c r="D934" s="8"/>
      <c r="E934" s="3"/>
      <c r="F934" s="3"/>
      <c r="G934" s="9"/>
      <c r="H934" s="9"/>
      <c r="I934" s="9"/>
      <c r="J934" s="18"/>
      <c r="K934" s="8"/>
      <c r="L934" s="11"/>
      <c r="M934" s="11"/>
      <c r="N934" s="9"/>
      <c r="O934" s="9"/>
      <c r="P934" s="8"/>
      <c r="Q934" s="8"/>
      <c r="R934" s="8"/>
      <c r="S934" s="8"/>
      <c r="T934" s="8"/>
      <c r="U934" s="8"/>
      <c r="V934" s="3"/>
      <c r="W934" s="3"/>
      <c r="X934" s="14"/>
      <c r="Y934" s="14"/>
      <c r="Z934" s="14"/>
    </row>
    <row r="935" spans="1:26" ht="18.75" customHeight="1">
      <c r="A935" s="8"/>
      <c r="B935" s="8"/>
      <c r="C935" s="8"/>
      <c r="D935" s="8"/>
      <c r="E935" s="3"/>
      <c r="F935" s="3"/>
      <c r="G935" s="9"/>
      <c r="H935" s="9"/>
      <c r="I935" s="9"/>
      <c r="J935" s="18"/>
      <c r="K935" s="8"/>
      <c r="L935" s="11"/>
      <c r="M935" s="11"/>
      <c r="N935" s="9"/>
      <c r="O935" s="9"/>
      <c r="P935" s="8"/>
      <c r="Q935" s="8"/>
      <c r="R935" s="8"/>
      <c r="S935" s="8"/>
      <c r="T935" s="8"/>
      <c r="U935" s="8"/>
      <c r="V935" s="3"/>
      <c r="W935" s="3"/>
      <c r="X935" s="14"/>
      <c r="Y935" s="14"/>
      <c r="Z935" s="14"/>
    </row>
    <row r="936" spans="1:26" ht="18.75" customHeight="1">
      <c r="A936" s="8"/>
      <c r="B936" s="8"/>
      <c r="C936" s="8"/>
      <c r="D936" s="8"/>
      <c r="E936" s="3"/>
      <c r="F936" s="3"/>
      <c r="G936" s="9"/>
      <c r="H936" s="9"/>
      <c r="I936" s="9"/>
      <c r="J936" s="18"/>
      <c r="K936" s="8"/>
      <c r="L936" s="11"/>
      <c r="M936" s="11"/>
      <c r="N936" s="9"/>
      <c r="O936" s="9"/>
      <c r="P936" s="8"/>
      <c r="Q936" s="8"/>
      <c r="R936" s="8"/>
      <c r="S936" s="8"/>
      <c r="T936" s="8"/>
      <c r="U936" s="8"/>
      <c r="V936" s="3"/>
      <c r="W936" s="3"/>
      <c r="X936" s="14"/>
      <c r="Y936" s="14"/>
      <c r="Z936" s="14"/>
    </row>
    <row r="937" spans="1:26" ht="18.75" customHeight="1">
      <c r="A937" s="8"/>
      <c r="B937" s="8"/>
      <c r="C937" s="8"/>
      <c r="D937" s="8"/>
      <c r="E937" s="3"/>
      <c r="F937" s="3"/>
      <c r="G937" s="9"/>
      <c r="H937" s="9"/>
      <c r="I937" s="9"/>
      <c r="J937" s="18"/>
      <c r="K937" s="8"/>
      <c r="L937" s="11"/>
      <c r="M937" s="11"/>
      <c r="N937" s="9"/>
      <c r="O937" s="9"/>
      <c r="P937" s="8"/>
      <c r="Q937" s="8"/>
      <c r="R937" s="8"/>
      <c r="S937" s="8"/>
      <c r="T937" s="8"/>
      <c r="U937" s="8"/>
      <c r="V937" s="3"/>
      <c r="W937" s="3"/>
      <c r="X937" s="14"/>
      <c r="Y937" s="14"/>
      <c r="Z937" s="14"/>
    </row>
    <row r="938" spans="1:26" ht="18.75" customHeight="1">
      <c r="A938" s="8"/>
      <c r="B938" s="8"/>
      <c r="C938" s="8"/>
      <c r="D938" s="8"/>
      <c r="E938" s="3"/>
      <c r="F938" s="3"/>
      <c r="G938" s="9"/>
      <c r="H938" s="9"/>
      <c r="I938" s="9"/>
      <c r="J938" s="18"/>
      <c r="K938" s="8"/>
      <c r="L938" s="11"/>
      <c r="M938" s="11"/>
      <c r="N938" s="9"/>
      <c r="O938" s="9"/>
      <c r="P938" s="8"/>
      <c r="Q938" s="8"/>
      <c r="R938" s="8"/>
      <c r="S938" s="8"/>
      <c r="T938" s="8"/>
      <c r="U938" s="8"/>
      <c r="V938" s="3"/>
      <c r="W938" s="3"/>
      <c r="X938" s="14"/>
      <c r="Y938" s="14"/>
      <c r="Z938" s="14"/>
    </row>
    <row r="939" spans="1:26" ht="18.75" customHeight="1">
      <c r="A939" s="8"/>
      <c r="B939" s="8"/>
      <c r="C939" s="8"/>
      <c r="D939" s="8"/>
      <c r="E939" s="3"/>
      <c r="F939" s="3"/>
      <c r="G939" s="9"/>
      <c r="H939" s="9"/>
      <c r="I939" s="9"/>
      <c r="J939" s="18"/>
      <c r="K939" s="8"/>
      <c r="L939" s="11"/>
      <c r="M939" s="11"/>
      <c r="N939" s="9"/>
      <c r="O939" s="9"/>
      <c r="P939" s="8"/>
      <c r="Q939" s="8"/>
      <c r="R939" s="8"/>
      <c r="S939" s="8"/>
      <c r="T939" s="8"/>
      <c r="U939" s="8"/>
      <c r="V939" s="3"/>
      <c r="W939" s="3"/>
      <c r="X939" s="14"/>
      <c r="Y939" s="14"/>
      <c r="Z939" s="14"/>
    </row>
    <row r="940" spans="1:26" ht="18.75" customHeight="1">
      <c r="A940" s="8"/>
      <c r="B940" s="8"/>
      <c r="C940" s="8"/>
      <c r="D940" s="8"/>
      <c r="E940" s="3"/>
      <c r="F940" s="3"/>
      <c r="G940" s="9"/>
      <c r="H940" s="9"/>
      <c r="I940" s="9"/>
      <c r="J940" s="18"/>
      <c r="K940" s="8"/>
      <c r="L940" s="11"/>
      <c r="M940" s="11"/>
      <c r="N940" s="9"/>
      <c r="O940" s="9"/>
      <c r="P940" s="8"/>
      <c r="Q940" s="8"/>
      <c r="R940" s="8"/>
      <c r="S940" s="8"/>
      <c r="T940" s="8"/>
      <c r="U940" s="8"/>
      <c r="V940" s="3"/>
      <c r="W940" s="3"/>
      <c r="X940" s="14"/>
      <c r="Y940" s="14"/>
      <c r="Z940" s="14"/>
    </row>
    <row r="941" spans="1:26" ht="18.75" customHeight="1">
      <c r="A941" s="8"/>
      <c r="B941" s="8"/>
      <c r="C941" s="8"/>
      <c r="D941" s="8"/>
      <c r="E941" s="3"/>
      <c r="F941" s="3"/>
      <c r="G941" s="9"/>
      <c r="H941" s="9"/>
      <c r="I941" s="9"/>
      <c r="J941" s="18"/>
      <c r="K941" s="8"/>
      <c r="L941" s="11"/>
      <c r="M941" s="11"/>
      <c r="N941" s="9"/>
      <c r="O941" s="9"/>
      <c r="P941" s="8"/>
      <c r="Q941" s="8"/>
      <c r="R941" s="8"/>
      <c r="S941" s="8"/>
      <c r="T941" s="8"/>
      <c r="U941" s="8"/>
      <c r="V941" s="3"/>
      <c r="W941" s="3"/>
      <c r="X941" s="14"/>
      <c r="Y941" s="14"/>
      <c r="Z941" s="14"/>
    </row>
    <row r="942" spans="1:26" ht="18.75" customHeight="1">
      <c r="A942" s="8"/>
      <c r="B942" s="8"/>
      <c r="C942" s="8"/>
      <c r="D942" s="8"/>
      <c r="E942" s="3"/>
      <c r="F942" s="3"/>
      <c r="G942" s="9"/>
      <c r="H942" s="9"/>
      <c r="I942" s="9"/>
      <c r="J942" s="18"/>
      <c r="K942" s="8"/>
      <c r="L942" s="11"/>
      <c r="M942" s="11"/>
      <c r="N942" s="9"/>
      <c r="O942" s="9"/>
      <c r="P942" s="8"/>
      <c r="Q942" s="8"/>
      <c r="R942" s="8"/>
      <c r="S942" s="8"/>
      <c r="T942" s="8"/>
      <c r="U942" s="8"/>
      <c r="V942" s="3"/>
      <c r="W942" s="3"/>
      <c r="X942" s="14"/>
      <c r="Y942" s="14"/>
      <c r="Z942" s="14"/>
    </row>
    <row r="943" spans="1:26" ht="18.75" customHeight="1">
      <c r="A943" s="8"/>
      <c r="B943" s="8"/>
      <c r="C943" s="8"/>
      <c r="D943" s="8"/>
      <c r="E943" s="3"/>
      <c r="F943" s="3"/>
      <c r="G943" s="9"/>
      <c r="H943" s="9"/>
      <c r="I943" s="9"/>
      <c r="J943" s="18"/>
      <c r="K943" s="8"/>
      <c r="L943" s="11"/>
      <c r="M943" s="11"/>
      <c r="N943" s="9"/>
      <c r="O943" s="9"/>
      <c r="P943" s="8"/>
      <c r="Q943" s="8"/>
      <c r="R943" s="8"/>
      <c r="S943" s="8"/>
      <c r="T943" s="8"/>
      <c r="U943" s="8"/>
      <c r="V943" s="3"/>
      <c r="W943" s="3"/>
      <c r="X943" s="14"/>
      <c r="Y943" s="14"/>
      <c r="Z943" s="14"/>
    </row>
    <row r="944" spans="1:26" ht="18.75" customHeight="1">
      <c r="A944" s="8"/>
      <c r="B944" s="8"/>
      <c r="C944" s="8"/>
      <c r="D944" s="8"/>
      <c r="E944" s="3"/>
      <c r="F944" s="3"/>
      <c r="G944" s="9"/>
      <c r="H944" s="9"/>
      <c r="I944" s="9"/>
      <c r="J944" s="18"/>
      <c r="K944" s="8"/>
      <c r="L944" s="11"/>
      <c r="M944" s="11"/>
      <c r="N944" s="9"/>
      <c r="O944" s="9"/>
      <c r="P944" s="8"/>
      <c r="Q944" s="8"/>
      <c r="R944" s="8"/>
      <c r="S944" s="8"/>
      <c r="T944" s="8"/>
      <c r="U944" s="8"/>
      <c r="V944" s="3"/>
      <c r="W944" s="3"/>
      <c r="X944" s="14"/>
      <c r="Y944" s="14"/>
      <c r="Z944" s="14"/>
    </row>
    <row r="945" spans="1:26" ht="18.75" customHeight="1">
      <c r="A945" s="8"/>
      <c r="B945" s="8"/>
      <c r="C945" s="8"/>
      <c r="D945" s="8"/>
      <c r="E945" s="3"/>
      <c r="F945" s="3"/>
      <c r="G945" s="9"/>
      <c r="H945" s="9"/>
      <c r="I945" s="9"/>
      <c r="J945" s="18"/>
      <c r="K945" s="8"/>
      <c r="L945" s="11"/>
      <c r="M945" s="11"/>
      <c r="N945" s="9"/>
      <c r="O945" s="9"/>
      <c r="P945" s="8"/>
      <c r="Q945" s="8"/>
      <c r="R945" s="8"/>
      <c r="S945" s="8"/>
      <c r="T945" s="8"/>
      <c r="U945" s="8"/>
      <c r="V945" s="3"/>
      <c r="W945" s="3"/>
      <c r="X945" s="14"/>
      <c r="Y945" s="14"/>
      <c r="Z945" s="14"/>
    </row>
    <row r="946" spans="1:26" ht="18.75" customHeight="1">
      <c r="A946" s="8"/>
      <c r="B946" s="8"/>
      <c r="C946" s="8"/>
      <c r="D946" s="8"/>
      <c r="E946" s="3"/>
      <c r="F946" s="3"/>
      <c r="G946" s="9"/>
      <c r="H946" s="9"/>
      <c r="I946" s="9"/>
      <c r="J946" s="18"/>
      <c r="K946" s="8"/>
      <c r="L946" s="11"/>
      <c r="M946" s="11"/>
      <c r="N946" s="9"/>
      <c r="O946" s="9"/>
      <c r="P946" s="8"/>
      <c r="Q946" s="8"/>
      <c r="R946" s="8"/>
      <c r="S946" s="8"/>
      <c r="T946" s="8"/>
      <c r="U946" s="8"/>
      <c r="V946" s="3"/>
      <c r="W946" s="3"/>
      <c r="X946" s="14"/>
      <c r="Y946" s="14"/>
      <c r="Z946" s="14"/>
    </row>
    <row r="947" spans="1:26" ht="18.75" customHeight="1">
      <c r="A947" s="8"/>
      <c r="B947" s="8"/>
      <c r="C947" s="8"/>
      <c r="D947" s="8"/>
      <c r="E947" s="3"/>
      <c r="F947" s="3"/>
      <c r="G947" s="9"/>
      <c r="H947" s="9"/>
      <c r="I947" s="9"/>
      <c r="J947" s="18"/>
      <c r="K947" s="8"/>
      <c r="L947" s="11"/>
      <c r="M947" s="11"/>
      <c r="N947" s="9"/>
      <c r="O947" s="9"/>
      <c r="P947" s="8"/>
      <c r="Q947" s="8"/>
      <c r="R947" s="8"/>
      <c r="S947" s="8"/>
      <c r="T947" s="8"/>
      <c r="U947" s="8"/>
      <c r="V947" s="3"/>
      <c r="W947" s="3"/>
      <c r="X947" s="14"/>
      <c r="Y947" s="14"/>
      <c r="Z947" s="14"/>
    </row>
    <row r="948" spans="1:26" ht="18.75" customHeight="1">
      <c r="A948" s="8"/>
      <c r="B948" s="8"/>
      <c r="C948" s="8"/>
      <c r="D948" s="8"/>
      <c r="E948" s="3"/>
      <c r="F948" s="3"/>
      <c r="G948" s="9"/>
      <c r="H948" s="9"/>
      <c r="I948" s="9"/>
      <c r="J948" s="18"/>
      <c r="K948" s="8"/>
      <c r="L948" s="11"/>
      <c r="M948" s="11"/>
      <c r="N948" s="9"/>
      <c r="O948" s="9"/>
      <c r="P948" s="8"/>
      <c r="Q948" s="8"/>
      <c r="R948" s="8"/>
      <c r="S948" s="8"/>
      <c r="T948" s="8"/>
      <c r="U948" s="8"/>
      <c r="V948" s="3"/>
      <c r="W948" s="3"/>
      <c r="X948" s="14"/>
      <c r="Y948" s="14"/>
      <c r="Z948" s="14"/>
    </row>
    <row r="949" spans="1:26" ht="18.75" customHeight="1">
      <c r="A949" s="8"/>
      <c r="B949" s="8"/>
      <c r="C949" s="8"/>
      <c r="D949" s="8"/>
      <c r="E949" s="3"/>
      <c r="F949" s="3"/>
      <c r="G949" s="9"/>
      <c r="H949" s="9"/>
      <c r="I949" s="9"/>
      <c r="J949" s="18"/>
      <c r="K949" s="8"/>
      <c r="L949" s="11"/>
      <c r="M949" s="11"/>
      <c r="N949" s="9"/>
      <c r="O949" s="9"/>
      <c r="P949" s="8"/>
      <c r="Q949" s="8"/>
      <c r="R949" s="8"/>
      <c r="S949" s="8"/>
      <c r="T949" s="8"/>
      <c r="U949" s="8"/>
      <c r="V949" s="3"/>
      <c r="W949" s="3"/>
      <c r="X949" s="14"/>
      <c r="Y949" s="14"/>
      <c r="Z949" s="14"/>
    </row>
    <row r="950" spans="1:26" ht="18.75" customHeight="1">
      <c r="A950" s="8"/>
      <c r="B950" s="8"/>
      <c r="C950" s="8"/>
      <c r="D950" s="8"/>
      <c r="E950" s="3"/>
      <c r="F950" s="3"/>
      <c r="G950" s="9"/>
      <c r="H950" s="9"/>
      <c r="I950" s="9"/>
      <c r="J950" s="18"/>
      <c r="K950" s="8"/>
      <c r="L950" s="11"/>
      <c r="M950" s="11"/>
      <c r="N950" s="9"/>
      <c r="O950" s="9"/>
      <c r="P950" s="8"/>
      <c r="Q950" s="8"/>
      <c r="R950" s="8"/>
      <c r="S950" s="8"/>
      <c r="T950" s="8"/>
      <c r="U950" s="8"/>
      <c r="V950" s="3"/>
      <c r="W950" s="3"/>
      <c r="X950" s="14"/>
      <c r="Y950" s="14"/>
      <c r="Z950" s="14"/>
    </row>
    <row r="951" spans="1:26" ht="18.75" customHeight="1">
      <c r="A951" s="8"/>
      <c r="B951" s="8"/>
      <c r="C951" s="8"/>
      <c r="D951" s="8"/>
      <c r="E951" s="3"/>
      <c r="F951" s="3"/>
      <c r="G951" s="9"/>
      <c r="H951" s="9"/>
      <c r="I951" s="9"/>
      <c r="J951" s="18"/>
      <c r="K951" s="8"/>
      <c r="L951" s="11"/>
      <c r="M951" s="11"/>
      <c r="N951" s="9"/>
      <c r="O951" s="9"/>
      <c r="P951" s="8"/>
      <c r="Q951" s="8"/>
      <c r="R951" s="8"/>
      <c r="S951" s="8"/>
      <c r="T951" s="8"/>
      <c r="U951" s="8"/>
      <c r="V951" s="3"/>
      <c r="W951" s="3"/>
      <c r="X951" s="14"/>
      <c r="Y951" s="14"/>
      <c r="Z951" s="14"/>
    </row>
    <row r="952" spans="1:26" ht="18.75" customHeight="1">
      <c r="A952" s="8"/>
      <c r="B952" s="8"/>
      <c r="C952" s="8"/>
      <c r="D952" s="8"/>
      <c r="E952" s="3"/>
      <c r="F952" s="3"/>
      <c r="G952" s="9"/>
      <c r="H952" s="9"/>
      <c r="I952" s="9"/>
      <c r="J952" s="18"/>
      <c r="K952" s="8"/>
      <c r="L952" s="11"/>
      <c r="M952" s="11"/>
      <c r="N952" s="9"/>
      <c r="O952" s="9"/>
      <c r="P952" s="8"/>
      <c r="Q952" s="8"/>
      <c r="R952" s="8"/>
      <c r="S952" s="8"/>
      <c r="T952" s="8"/>
      <c r="U952" s="8"/>
      <c r="V952" s="3"/>
      <c r="W952" s="3"/>
      <c r="X952" s="14"/>
      <c r="Y952" s="14"/>
      <c r="Z952" s="14"/>
    </row>
    <row r="953" spans="1:26" ht="18.75" customHeight="1">
      <c r="A953" s="8"/>
      <c r="B953" s="8"/>
      <c r="C953" s="8"/>
      <c r="D953" s="8"/>
      <c r="E953" s="3"/>
      <c r="F953" s="3"/>
      <c r="G953" s="9"/>
      <c r="H953" s="9"/>
      <c r="I953" s="9"/>
      <c r="J953" s="18"/>
      <c r="K953" s="8"/>
      <c r="L953" s="11"/>
      <c r="M953" s="11"/>
      <c r="N953" s="9"/>
      <c r="O953" s="9"/>
      <c r="P953" s="8"/>
      <c r="Q953" s="8"/>
      <c r="R953" s="8"/>
      <c r="S953" s="8"/>
      <c r="T953" s="8"/>
      <c r="U953" s="8"/>
      <c r="V953" s="3"/>
      <c r="W953" s="3"/>
      <c r="X953" s="14"/>
      <c r="Y953" s="14"/>
      <c r="Z953" s="14"/>
    </row>
    <row r="954" spans="1:26" ht="18.75" customHeight="1">
      <c r="A954" s="8"/>
      <c r="B954" s="8"/>
      <c r="C954" s="8"/>
      <c r="D954" s="8"/>
      <c r="E954" s="3"/>
      <c r="F954" s="3"/>
      <c r="G954" s="9"/>
      <c r="H954" s="9"/>
      <c r="I954" s="9"/>
      <c r="J954" s="18"/>
      <c r="K954" s="8"/>
      <c r="L954" s="11"/>
      <c r="M954" s="11"/>
      <c r="N954" s="9"/>
      <c r="O954" s="9"/>
      <c r="P954" s="8"/>
      <c r="Q954" s="8"/>
      <c r="R954" s="8"/>
      <c r="S954" s="8"/>
      <c r="T954" s="8"/>
      <c r="U954" s="8"/>
      <c r="V954" s="3"/>
      <c r="W954" s="3"/>
      <c r="X954" s="14"/>
      <c r="Y954" s="14"/>
      <c r="Z954" s="14"/>
    </row>
    <row r="955" spans="1:26" ht="18.75" customHeight="1">
      <c r="A955" s="8"/>
      <c r="B955" s="8"/>
      <c r="C955" s="8"/>
      <c r="D955" s="8"/>
      <c r="E955" s="3"/>
      <c r="F955" s="3"/>
      <c r="G955" s="9"/>
      <c r="H955" s="9"/>
      <c r="I955" s="9"/>
      <c r="J955" s="18"/>
      <c r="K955" s="8"/>
      <c r="L955" s="11"/>
      <c r="M955" s="11"/>
      <c r="N955" s="9"/>
      <c r="O955" s="9"/>
      <c r="P955" s="8"/>
      <c r="Q955" s="8"/>
      <c r="R955" s="8"/>
      <c r="S955" s="8"/>
      <c r="T955" s="8"/>
      <c r="U955" s="8"/>
      <c r="V955" s="3"/>
      <c r="W955" s="3"/>
      <c r="X955" s="14"/>
      <c r="Y955" s="14"/>
      <c r="Z955" s="14"/>
    </row>
    <row r="956" spans="1:26" ht="18.75" customHeight="1">
      <c r="A956" s="8"/>
      <c r="B956" s="8"/>
      <c r="C956" s="8"/>
      <c r="D956" s="8"/>
      <c r="E956" s="3"/>
      <c r="F956" s="3"/>
      <c r="G956" s="9"/>
      <c r="H956" s="9"/>
      <c r="I956" s="9"/>
      <c r="J956" s="18"/>
      <c r="K956" s="8"/>
      <c r="L956" s="11"/>
      <c r="M956" s="11"/>
      <c r="N956" s="9"/>
      <c r="O956" s="9"/>
      <c r="P956" s="8"/>
      <c r="Q956" s="8"/>
      <c r="R956" s="8"/>
      <c r="S956" s="8"/>
      <c r="T956" s="8"/>
      <c r="U956" s="8"/>
      <c r="V956" s="3"/>
      <c r="W956" s="3"/>
      <c r="X956" s="14"/>
      <c r="Y956" s="14"/>
      <c r="Z956" s="14"/>
    </row>
    <row r="957" spans="1:26" ht="18.75" customHeight="1">
      <c r="A957" s="8"/>
      <c r="B957" s="8"/>
      <c r="C957" s="8"/>
      <c r="D957" s="8"/>
      <c r="E957" s="3"/>
      <c r="F957" s="3"/>
      <c r="G957" s="9"/>
      <c r="H957" s="9"/>
      <c r="I957" s="9"/>
      <c r="J957" s="18"/>
      <c r="K957" s="8"/>
      <c r="L957" s="11"/>
      <c r="M957" s="11"/>
      <c r="N957" s="9"/>
      <c r="O957" s="9"/>
      <c r="P957" s="8"/>
      <c r="Q957" s="8"/>
      <c r="R957" s="8"/>
      <c r="S957" s="8"/>
      <c r="T957" s="8"/>
      <c r="U957" s="8"/>
      <c r="V957" s="3"/>
      <c r="W957" s="3"/>
      <c r="X957" s="14"/>
      <c r="Y957" s="14"/>
      <c r="Z957" s="14"/>
    </row>
    <row r="958" spans="1:26" ht="18.75" customHeight="1">
      <c r="A958" s="8"/>
      <c r="B958" s="8"/>
      <c r="C958" s="8"/>
      <c r="D958" s="8"/>
      <c r="E958" s="3"/>
      <c r="F958" s="3"/>
      <c r="G958" s="9"/>
      <c r="H958" s="9"/>
      <c r="I958" s="9"/>
      <c r="J958" s="18"/>
      <c r="K958" s="8"/>
      <c r="L958" s="11"/>
      <c r="M958" s="11"/>
      <c r="N958" s="9"/>
      <c r="O958" s="9"/>
      <c r="P958" s="8"/>
      <c r="Q958" s="8"/>
      <c r="R958" s="8"/>
      <c r="S958" s="8"/>
      <c r="T958" s="8"/>
      <c r="U958" s="8"/>
      <c r="V958" s="3"/>
      <c r="W958" s="3"/>
      <c r="X958" s="14"/>
      <c r="Y958" s="14"/>
      <c r="Z958" s="14"/>
    </row>
    <row r="959" spans="1:26" ht="18.75" customHeight="1">
      <c r="A959" s="8"/>
      <c r="B959" s="8"/>
      <c r="C959" s="8"/>
      <c r="D959" s="8"/>
      <c r="E959" s="3"/>
      <c r="F959" s="3"/>
      <c r="G959" s="9"/>
      <c r="H959" s="9"/>
      <c r="I959" s="9"/>
      <c r="J959" s="18"/>
      <c r="K959" s="8"/>
      <c r="L959" s="11"/>
      <c r="M959" s="11"/>
      <c r="N959" s="9"/>
      <c r="O959" s="9"/>
      <c r="P959" s="8"/>
      <c r="Q959" s="8"/>
      <c r="R959" s="8"/>
      <c r="S959" s="8"/>
      <c r="T959" s="8"/>
      <c r="U959" s="8"/>
      <c r="V959" s="3"/>
      <c r="W959" s="3"/>
      <c r="X959" s="14"/>
      <c r="Y959" s="14"/>
      <c r="Z959" s="14"/>
    </row>
    <row r="960" spans="1:26" ht="18.75" customHeight="1">
      <c r="A960" s="8"/>
      <c r="B960" s="8"/>
      <c r="C960" s="8"/>
      <c r="D960" s="8"/>
      <c r="E960" s="3"/>
      <c r="F960" s="3"/>
      <c r="G960" s="9"/>
      <c r="H960" s="9"/>
      <c r="I960" s="9"/>
      <c r="J960" s="18"/>
      <c r="K960" s="8"/>
      <c r="L960" s="11"/>
      <c r="M960" s="11"/>
      <c r="N960" s="9"/>
      <c r="O960" s="9"/>
      <c r="P960" s="8"/>
      <c r="Q960" s="8"/>
      <c r="R960" s="8"/>
      <c r="S960" s="8"/>
      <c r="T960" s="8"/>
      <c r="U960" s="8"/>
      <c r="V960" s="3"/>
      <c r="W960" s="3"/>
      <c r="X960" s="14"/>
      <c r="Y960" s="14"/>
      <c r="Z960" s="14"/>
    </row>
    <row r="961" spans="1:26" ht="18.75" customHeight="1">
      <c r="A961" s="8"/>
      <c r="B961" s="8"/>
      <c r="C961" s="8"/>
      <c r="D961" s="8"/>
      <c r="E961" s="3"/>
      <c r="F961" s="3"/>
      <c r="G961" s="9"/>
      <c r="H961" s="9"/>
      <c r="I961" s="9"/>
      <c r="J961" s="18"/>
      <c r="K961" s="8"/>
      <c r="L961" s="11"/>
      <c r="M961" s="11"/>
      <c r="N961" s="9"/>
      <c r="O961" s="9"/>
      <c r="P961" s="8"/>
      <c r="Q961" s="8"/>
      <c r="R961" s="8"/>
      <c r="S961" s="8"/>
      <c r="T961" s="8"/>
      <c r="U961" s="8"/>
      <c r="V961" s="3"/>
      <c r="W961" s="3"/>
      <c r="X961" s="14"/>
      <c r="Y961" s="14"/>
      <c r="Z961" s="14"/>
    </row>
    <row r="962" spans="1:26" ht="18.75" customHeight="1">
      <c r="A962" s="8"/>
      <c r="B962" s="8"/>
      <c r="C962" s="8"/>
      <c r="D962" s="8"/>
      <c r="E962" s="3"/>
      <c r="F962" s="3"/>
      <c r="G962" s="9"/>
      <c r="H962" s="9"/>
      <c r="I962" s="9"/>
      <c r="J962" s="18"/>
      <c r="K962" s="8"/>
      <c r="L962" s="11"/>
      <c r="M962" s="11"/>
      <c r="N962" s="9"/>
      <c r="O962" s="9"/>
      <c r="P962" s="8"/>
      <c r="Q962" s="8"/>
      <c r="R962" s="8"/>
      <c r="S962" s="8"/>
      <c r="T962" s="8"/>
      <c r="U962" s="8"/>
      <c r="V962" s="3"/>
      <c r="W962" s="3"/>
      <c r="X962" s="14"/>
      <c r="Y962" s="14"/>
      <c r="Z962" s="14"/>
    </row>
    <row r="963" spans="1:26" ht="18.75" customHeight="1">
      <c r="A963" s="8"/>
      <c r="B963" s="8"/>
      <c r="C963" s="8"/>
      <c r="D963" s="8"/>
      <c r="E963" s="3"/>
      <c r="F963" s="3"/>
      <c r="G963" s="9"/>
      <c r="H963" s="9"/>
      <c r="I963" s="9"/>
      <c r="J963" s="18"/>
      <c r="K963" s="8"/>
      <c r="L963" s="11"/>
      <c r="M963" s="11"/>
      <c r="N963" s="9"/>
      <c r="O963" s="9"/>
      <c r="P963" s="8"/>
      <c r="Q963" s="8"/>
      <c r="R963" s="8"/>
      <c r="S963" s="8"/>
      <c r="T963" s="8"/>
      <c r="U963" s="8"/>
      <c r="V963" s="3"/>
      <c r="W963" s="3"/>
      <c r="X963" s="14"/>
      <c r="Y963" s="14"/>
      <c r="Z963" s="14"/>
    </row>
    <row r="964" spans="1:26" ht="18.75" customHeight="1">
      <c r="A964" s="8"/>
      <c r="B964" s="8"/>
      <c r="C964" s="8"/>
      <c r="D964" s="8"/>
      <c r="E964" s="3"/>
      <c r="F964" s="3"/>
      <c r="G964" s="9"/>
      <c r="H964" s="9"/>
      <c r="I964" s="9"/>
      <c r="J964" s="18"/>
      <c r="K964" s="8"/>
      <c r="L964" s="11"/>
      <c r="M964" s="11"/>
      <c r="N964" s="9"/>
      <c r="O964" s="9"/>
      <c r="P964" s="8"/>
      <c r="Q964" s="8"/>
      <c r="R964" s="8"/>
      <c r="S964" s="8"/>
      <c r="T964" s="8"/>
      <c r="U964" s="8"/>
      <c r="V964" s="3"/>
      <c r="W964" s="3"/>
      <c r="X964" s="14"/>
      <c r="Y964" s="14"/>
      <c r="Z964" s="14"/>
    </row>
    <row r="965" spans="1:26" ht="18.75" customHeight="1">
      <c r="A965" s="8"/>
      <c r="B965" s="8"/>
      <c r="C965" s="8"/>
      <c r="D965" s="8"/>
      <c r="E965" s="3"/>
      <c r="F965" s="3"/>
      <c r="G965" s="9"/>
      <c r="H965" s="9"/>
      <c r="I965" s="9"/>
      <c r="J965" s="18"/>
      <c r="K965" s="8"/>
      <c r="L965" s="11"/>
      <c r="M965" s="11"/>
      <c r="N965" s="9"/>
      <c r="O965" s="9"/>
      <c r="P965" s="8"/>
      <c r="Q965" s="8"/>
      <c r="R965" s="8"/>
      <c r="S965" s="8"/>
      <c r="T965" s="8"/>
      <c r="U965" s="8"/>
      <c r="V965" s="3"/>
      <c r="W965" s="3"/>
      <c r="X965" s="14"/>
      <c r="Y965" s="14"/>
      <c r="Z965" s="14"/>
    </row>
    <row r="966" spans="1:26" ht="18.75" customHeight="1">
      <c r="A966" s="8"/>
      <c r="B966" s="8"/>
      <c r="C966" s="8"/>
      <c r="D966" s="8"/>
      <c r="E966" s="3"/>
      <c r="F966" s="3"/>
      <c r="G966" s="9"/>
      <c r="H966" s="9"/>
      <c r="I966" s="9"/>
      <c r="J966" s="18"/>
      <c r="K966" s="8"/>
      <c r="L966" s="11"/>
      <c r="M966" s="11"/>
      <c r="N966" s="9"/>
      <c r="O966" s="9"/>
      <c r="P966" s="8"/>
      <c r="Q966" s="8"/>
      <c r="R966" s="8"/>
      <c r="S966" s="8"/>
      <c r="T966" s="8"/>
      <c r="U966" s="8"/>
      <c r="V966" s="3"/>
      <c r="W966" s="3"/>
      <c r="X966" s="14"/>
      <c r="Y966" s="14"/>
      <c r="Z966" s="14"/>
    </row>
    <row r="967" spans="1:26" ht="18.75" customHeight="1">
      <c r="A967" s="8"/>
      <c r="B967" s="8"/>
      <c r="C967" s="8"/>
      <c r="D967" s="8"/>
      <c r="E967" s="3"/>
      <c r="F967" s="3"/>
      <c r="G967" s="9"/>
      <c r="H967" s="9"/>
      <c r="I967" s="9"/>
      <c r="J967" s="18"/>
      <c r="K967" s="8"/>
      <c r="L967" s="11"/>
      <c r="M967" s="11"/>
      <c r="N967" s="9"/>
      <c r="O967" s="9"/>
      <c r="P967" s="8"/>
      <c r="Q967" s="8"/>
      <c r="R967" s="8"/>
      <c r="S967" s="8"/>
      <c r="T967" s="8"/>
      <c r="U967" s="8"/>
      <c r="V967" s="3"/>
      <c r="W967" s="3"/>
      <c r="X967" s="14"/>
      <c r="Y967" s="14"/>
      <c r="Z967" s="14"/>
    </row>
    <row r="968" spans="1:26" ht="18.75" customHeight="1">
      <c r="A968" s="8"/>
      <c r="B968" s="8"/>
      <c r="C968" s="8"/>
      <c r="D968" s="8"/>
      <c r="E968" s="3"/>
      <c r="F968" s="3"/>
      <c r="G968" s="9"/>
      <c r="H968" s="9"/>
      <c r="I968" s="9"/>
      <c r="J968" s="18"/>
      <c r="K968" s="8"/>
      <c r="L968" s="11"/>
      <c r="M968" s="11"/>
      <c r="N968" s="9"/>
      <c r="O968" s="9"/>
      <c r="P968" s="8"/>
      <c r="Q968" s="8"/>
      <c r="R968" s="8"/>
      <c r="S968" s="8"/>
      <c r="T968" s="8"/>
      <c r="U968" s="8"/>
      <c r="V968" s="3"/>
      <c r="W968" s="3"/>
      <c r="X968" s="14"/>
      <c r="Y968" s="14"/>
      <c r="Z968" s="14"/>
    </row>
    <row r="969" spans="1:26" ht="18.75" customHeight="1">
      <c r="A969" s="8"/>
      <c r="B969" s="8"/>
      <c r="C969" s="8"/>
      <c r="D969" s="8"/>
      <c r="E969" s="3"/>
      <c r="F969" s="3"/>
      <c r="G969" s="9"/>
      <c r="H969" s="9"/>
      <c r="I969" s="9"/>
      <c r="J969" s="18"/>
      <c r="K969" s="8"/>
      <c r="L969" s="11"/>
      <c r="M969" s="11"/>
      <c r="N969" s="9"/>
      <c r="O969" s="9"/>
      <c r="P969" s="8"/>
      <c r="Q969" s="8"/>
      <c r="R969" s="8"/>
      <c r="S969" s="8"/>
      <c r="T969" s="8"/>
      <c r="U969" s="8"/>
      <c r="V969" s="3"/>
      <c r="W969" s="3"/>
      <c r="X969" s="14"/>
      <c r="Y969" s="14"/>
      <c r="Z969" s="14"/>
    </row>
    <row r="970" spans="1:26" ht="15" customHeight="1">
      <c r="X970" s="14"/>
      <c r="Y970" s="14"/>
      <c r="Z970" s="14"/>
    </row>
  </sheetData>
  <mergeCells count="5">
    <mergeCell ref="B2:N5"/>
    <mergeCell ref="C7:D7"/>
    <mergeCell ref="C10:D10"/>
    <mergeCell ref="C8:D8"/>
    <mergeCell ref="C9:D9"/>
  </mergeCells>
  <phoneticPr fontId="1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B2:T27"/>
  <sheetViews>
    <sheetView showGridLines="0" workbookViewId="0">
      <selection activeCell="E3" sqref="A1:XFD1048576"/>
    </sheetView>
  </sheetViews>
  <sheetFormatPr defaultColWidth="11.42578125" defaultRowHeight="15"/>
  <cols>
    <col min="6" max="6" width="31.140625" customWidth="1"/>
    <col min="7" max="7" width="14" bestFit="1" customWidth="1"/>
    <col min="8" max="8" width="11.42578125" bestFit="1" customWidth="1"/>
    <col min="9" max="9" width="11.42578125" customWidth="1"/>
    <col min="12" max="12" width="19.140625" customWidth="1"/>
    <col min="13" max="13" width="40.140625" customWidth="1"/>
    <col min="14" max="14" width="38.28515625" customWidth="1"/>
  </cols>
  <sheetData>
    <row r="2" spans="2:20" ht="17.25">
      <c r="L2" s="76"/>
      <c r="M2" s="76"/>
      <c r="N2" s="76"/>
      <c r="O2" s="76"/>
    </row>
    <row r="3" spans="2:20" ht="20.25">
      <c r="E3" s="66" t="s">
        <v>45</v>
      </c>
      <c r="F3" s="66" t="s">
        <v>46</v>
      </c>
      <c r="G3" s="67">
        <v>8200</v>
      </c>
      <c r="H3" s="66"/>
      <c r="I3" s="66"/>
      <c r="L3" s="77" t="s">
        <v>67</v>
      </c>
      <c r="M3" s="77" t="s">
        <v>68</v>
      </c>
      <c r="N3" s="77" t="s">
        <v>69</v>
      </c>
      <c r="O3" s="78">
        <v>10400</v>
      </c>
      <c r="P3" s="73"/>
      <c r="Q3" s="73"/>
      <c r="R3" s="73"/>
      <c r="S3" s="74"/>
      <c r="T3" s="75"/>
    </row>
    <row r="4" spans="2:20" ht="21">
      <c r="B4" s="65" t="s">
        <v>66</v>
      </c>
      <c r="E4" s="66" t="s">
        <v>47</v>
      </c>
      <c r="F4" s="66" t="s">
        <v>48</v>
      </c>
      <c r="G4" s="67">
        <v>11500</v>
      </c>
      <c r="H4" s="68"/>
      <c r="I4" s="68"/>
      <c r="J4" s="65" t="s">
        <v>78</v>
      </c>
      <c r="L4" s="77" t="s">
        <v>70</v>
      </c>
      <c r="M4" s="77" t="s">
        <v>71</v>
      </c>
      <c r="N4" s="78">
        <v>15600</v>
      </c>
      <c r="O4" s="76"/>
    </row>
    <row r="5" spans="2:20" ht="21">
      <c r="E5" s="66" t="s">
        <v>49</v>
      </c>
      <c r="F5" s="66" t="s">
        <v>50</v>
      </c>
      <c r="G5" s="67">
        <v>16500</v>
      </c>
      <c r="H5" s="68"/>
      <c r="I5" s="68"/>
      <c r="L5" s="77" t="s">
        <v>72</v>
      </c>
      <c r="M5" s="77" t="s">
        <v>73</v>
      </c>
      <c r="N5" s="78">
        <v>26400</v>
      </c>
      <c r="O5" s="76"/>
    </row>
    <row r="6" spans="2:20" ht="21">
      <c r="E6" s="66" t="s">
        <v>51</v>
      </c>
      <c r="F6" s="66" t="s">
        <v>52</v>
      </c>
      <c r="G6" s="67">
        <v>26500</v>
      </c>
      <c r="H6" s="68"/>
      <c r="I6" s="68"/>
      <c r="L6" s="77" t="s">
        <v>67</v>
      </c>
      <c r="M6" s="77" t="s">
        <v>74</v>
      </c>
      <c r="N6" s="77" t="s">
        <v>75</v>
      </c>
      <c r="O6" s="78">
        <v>11200</v>
      </c>
      <c r="P6" s="75"/>
    </row>
    <row r="7" spans="2:20" ht="21">
      <c r="E7" s="66" t="s">
        <v>53</v>
      </c>
      <c r="F7" s="66" t="s">
        <v>54</v>
      </c>
      <c r="G7" s="68"/>
      <c r="H7" s="68"/>
      <c r="I7" s="68"/>
      <c r="L7" s="77" t="s">
        <v>70</v>
      </c>
      <c r="M7" s="77" t="s">
        <v>76</v>
      </c>
      <c r="N7" s="78">
        <v>17000</v>
      </c>
      <c r="O7" s="76"/>
    </row>
    <row r="8" spans="2:20" ht="21">
      <c r="E8" s="66" t="s">
        <v>55</v>
      </c>
      <c r="F8" s="68"/>
      <c r="G8" s="68"/>
      <c r="H8" s="68"/>
      <c r="I8" s="68"/>
      <c r="L8" s="77" t="s">
        <v>72</v>
      </c>
      <c r="M8" s="77" t="s">
        <v>77</v>
      </c>
      <c r="N8" s="78">
        <v>29100</v>
      </c>
      <c r="O8" s="76"/>
    </row>
    <row r="9" spans="2:20" ht="21">
      <c r="E9" s="68"/>
      <c r="F9" s="68"/>
      <c r="G9" s="68"/>
      <c r="H9" s="68"/>
      <c r="I9" s="68"/>
      <c r="L9" s="72"/>
      <c r="M9" s="77"/>
      <c r="N9" s="77"/>
      <c r="O9" s="77"/>
      <c r="P9" s="73"/>
      <c r="Q9" s="74"/>
      <c r="R9" s="73"/>
    </row>
    <row r="10" spans="2:20" ht="16.5">
      <c r="L10" s="77"/>
      <c r="M10" s="77"/>
      <c r="N10" s="78"/>
      <c r="O10" s="77"/>
    </row>
    <row r="11" spans="2:20" ht="15.75">
      <c r="L11" s="73"/>
      <c r="M11" s="73"/>
      <c r="N11" s="74"/>
      <c r="O11" s="73"/>
    </row>
    <row r="12" spans="2:20" ht="18">
      <c r="L12" s="53" t="s">
        <v>24</v>
      </c>
      <c r="M12" s="54" t="s">
        <v>25</v>
      </c>
      <c r="N12" s="55" t="s">
        <v>26</v>
      </c>
      <c r="O12" s="56" t="s">
        <v>27</v>
      </c>
      <c r="P12" s="57">
        <v>7900</v>
      </c>
      <c r="Q12" s="57">
        <v>7900</v>
      </c>
      <c r="R12" s="73"/>
    </row>
    <row r="13" spans="2:20" ht="87" customHeight="1">
      <c r="E13" s="69" t="s">
        <v>56</v>
      </c>
      <c r="F13" s="70"/>
      <c r="G13" s="70" t="s">
        <v>57</v>
      </c>
      <c r="H13" s="71">
        <v>7260</v>
      </c>
      <c r="I13" s="79"/>
      <c r="J13" s="65" t="s">
        <v>79</v>
      </c>
      <c r="L13" s="53" t="s">
        <v>24</v>
      </c>
      <c r="M13" s="54" t="s">
        <v>25</v>
      </c>
      <c r="N13" s="55" t="s">
        <v>28</v>
      </c>
      <c r="O13" s="56" t="s">
        <v>27</v>
      </c>
      <c r="P13" s="57">
        <v>11500</v>
      </c>
      <c r="Q13" s="57">
        <v>11300</v>
      </c>
    </row>
    <row r="14" spans="2:20" ht="21">
      <c r="B14" s="65" t="s">
        <v>65</v>
      </c>
      <c r="E14" s="69" t="s">
        <v>58</v>
      </c>
      <c r="F14" s="70"/>
      <c r="G14" s="70" t="s">
        <v>57</v>
      </c>
      <c r="H14" s="71">
        <v>9680</v>
      </c>
      <c r="I14" s="79"/>
      <c r="L14" s="60" t="s">
        <v>24</v>
      </c>
      <c r="M14" s="61" t="s">
        <v>25</v>
      </c>
      <c r="N14" s="62" t="s">
        <v>29</v>
      </c>
      <c r="O14" s="63" t="s">
        <v>27</v>
      </c>
      <c r="P14" s="64">
        <v>14800</v>
      </c>
      <c r="Q14" s="64">
        <v>14600</v>
      </c>
    </row>
    <row r="15" spans="2:20" ht="21">
      <c r="E15" s="69" t="s">
        <v>59</v>
      </c>
      <c r="F15" s="70"/>
      <c r="G15" s="70" t="s">
        <v>57</v>
      </c>
      <c r="H15" s="71">
        <v>11880</v>
      </c>
      <c r="I15" s="79"/>
      <c r="L15" s="60" t="s">
        <v>24</v>
      </c>
      <c r="M15" s="61" t="s">
        <v>25</v>
      </c>
      <c r="N15" s="62" t="s">
        <v>30</v>
      </c>
      <c r="O15" s="63" t="s">
        <v>27</v>
      </c>
      <c r="P15" s="64">
        <v>23100</v>
      </c>
      <c r="Q15" s="64">
        <v>22900</v>
      </c>
    </row>
    <row r="16" spans="2:20" ht="21">
      <c r="E16" s="69" t="s">
        <v>60</v>
      </c>
      <c r="F16" s="70"/>
      <c r="G16" s="70" t="s">
        <v>57</v>
      </c>
      <c r="H16" s="71">
        <v>17380</v>
      </c>
      <c r="I16" s="79"/>
      <c r="L16" s="53" t="s">
        <v>24</v>
      </c>
      <c r="M16" s="54" t="s">
        <v>25</v>
      </c>
      <c r="N16" s="55" t="s">
        <v>31</v>
      </c>
      <c r="O16" s="58" t="s">
        <v>32</v>
      </c>
      <c r="P16" s="59" t="s">
        <v>33</v>
      </c>
      <c r="Q16" s="59" t="s">
        <v>33</v>
      </c>
    </row>
    <row r="17" spans="5:17" ht="21">
      <c r="E17" s="69" t="s">
        <v>61</v>
      </c>
      <c r="F17" s="70"/>
      <c r="G17" s="70" t="s">
        <v>57</v>
      </c>
      <c r="H17" s="71">
        <v>28380</v>
      </c>
      <c r="I17" s="79"/>
      <c r="L17" s="53" t="s">
        <v>24</v>
      </c>
      <c r="M17" s="54" t="s">
        <v>25</v>
      </c>
      <c r="N17" s="55" t="s">
        <v>34</v>
      </c>
      <c r="O17" s="56" t="s">
        <v>27</v>
      </c>
      <c r="P17" s="57">
        <v>10500</v>
      </c>
      <c r="Q17" s="57">
        <v>10300</v>
      </c>
    </row>
    <row r="18" spans="5:17" ht="21">
      <c r="E18" s="69" t="s">
        <v>62</v>
      </c>
      <c r="F18" s="70"/>
      <c r="G18" s="70" t="s">
        <v>57</v>
      </c>
      <c r="H18" s="71">
        <v>10780</v>
      </c>
      <c r="I18" s="79"/>
      <c r="L18" s="53" t="s">
        <v>24</v>
      </c>
      <c r="M18" s="54" t="s">
        <v>25</v>
      </c>
      <c r="N18" s="55" t="s">
        <v>35</v>
      </c>
      <c r="O18" s="56" t="s">
        <v>27</v>
      </c>
      <c r="P18" s="57">
        <v>15700</v>
      </c>
      <c r="Q18" s="57">
        <v>15500</v>
      </c>
    </row>
    <row r="19" spans="5:17" ht="21">
      <c r="E19" s="69" t="s">
        <v>63</v>
      </c>
      <c r="F19" s="70"/>
      <c r="G19" s="70" t="s">
        <v>57</v>
      </c>
      <c r="H19" s="71">
        <v>15180</v>
      </c>
      <c r="I19" s="79"/>
      <c r="L19" s="53" t="s">
        <v>24</v>
      </c>
      <c r="M19" s="54" t="s">
        <v>25</v>
      </c>
      <c r="N19" s="55" t="s">
        <v>36</v>
      </c>
      <c r="O19" s="56" t="s">
        <v>27</v>
      </c>
      <c r="P19" s="57">
        <v>24200</v>
      </c>
      <c r="Q19" s="57">
        <v>24000</v>
      </c>
    </row>
    <row r="20" spans="5:17" ht="21">
      <c r="E20" s="69" t="s">
        <v>64</v>
      </c>
      <c r="F20" s="70"/>
      <c r="G20" s="70" t="s">
        <v>57</v>
      </c>
      <c r="H20" s="71">
        <v>23980</v>
      </c>
      <c r="I20" s="79"/>
      <c r="L20" s="53" t="s">
        <v>24</v>
      </c>
      <c r="M20" s="54" t="s">
        <v>25</v>
      </c>
      <c r="N20" s="55" t="s">
        <v>37</v>
      </c>
      <c r="O20" s="56" t="s">
        <v>27</v>
      </c>
      <c r="P20" s="57">
        <v>9400</v>
      </c>
      <c r="Q20" s="57">
        <v>9200</v>
      </c>
    </row>
    <row r="21" spans="5:17" ht="18">
      <c r="L21" s="60" t="s">
        <v>24</v>
      </c>
      <c r="M21" s="61" t="s">
        <v>25</v>
      </c>
      <c r="N21" s="62" t="s">
        <v>38</v>
      </c>
      <c r="O21" s="63" t="s">
        <v>27</v>
      </c>
      <c r="P21" s="64">
        <v>11400</v>
      </c>
      <c r="Q21" s="64">
        <v>11200</v>
      </c>
    </row>
    <row r="22" spans="5:17" ht="18">
      <c r="L22" s="53" t="s">
        <v>24</v>
      </c>
      <c r="M22" s="54" t="s">
        <v>25</v>
      </c>
      <c r="N22" s="55" t="s">
        <v>39</v>
      </c>
      <c r="O22" s="56" t="s">
        <v>27</v>
      </c>
      <c r="P22" s="57">
        <v>16500</v>
      </c>
      <c r="Q22" s="57">
        <v>16300</v>
      </c>
    </row>
    <row r="23" spans="5:17" ht="18">
      <c r="L23" s="53" t="s">
        <v>24</v>
      </c>
      <c r="M23" s="54" t="s">
        <v>25</v>
      </c>
      <c r="N23" s="55" t="s">
        <v>40</v>
      </c>
      <c r="O23" s="56" t="s">
        <v>27</v>
      </c>
      <c r="P23" s="57">
        <v>26300</v>
      </c>
      <c r="Q23" s="57">
        <v>26100</v>
      </c>
    </row>
    <row r="24" spans="5:17" ht="18">
      <c r="L24" s="53" t="s">
        <v>24</v>
      </c>
      <c r="M24" s="54" t="s">
        <v>25</v>
      </c>
      <c r="N24" s="55" t="s">
        <v>41</v>
      </c>
      <c r="O24" s="56" t="s">
        <v>27</v>
      </c>
      <c r="P24" s="57">
        <v>9800</v>
      </c>
      <c r="Q24" s="57">
        <v>9600</v>
      </c>
    </row>
    <row r="25" spans="5:17" ht="18">
      <c r="L25" s="53" t="s">
        <v>24</v>
      </c>
      <c r="M25" s="54" t="s">
        <v>25</v>
      </c>
      <c r="N25" s="55" t="s">
        <v>42</v>
      </c>
      <c r="O25" s="56" t="s">
        <v>27</v>
      </c>
      <c r="P25" s="57">
        <v>11600</v>
      </c>
      <c r="Q25" s="57">
        <v>11400</v>
      </c>
    </row>
    <row r="26" spans="5:17" ht="18">
      <c r="L26" s="53" t="s">
        <v>24</v>
      </c>
      <c r="M26" s="54" t="s">
        <v>25</v>
      </c>
      <c r="N26" s="55" t="s">
        <v>43</v>
      </c>
      <c r="O26" s="56" t="s">
        <v>27</v>
      </c>
      <c r="P26" s="57">
        <v>16700</v>
      </c>
      <c r="Q26" s="57">
        <v>16400</v>
      </c>
    </row>
    <row r="27" spans="5:17" ht="18">
      <c r="L27" s="53" t="s">
        <v>24</v>
      </c>
      <c r="M27" s="54" t="s">
        <v>25</v>
      </c>
      <c r="N27" s="55" t="s">
        <v>44</v>
      </c>
      <c r="O27" s="56" t="s">
        <v>27</v>
      </c>
      <c r="P27" s="57">
        <v>26500</v>
      </c>
      <c r="Q27" s="57">
        <v>26100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소싱현황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2026-04-25T11:10:03Z</dcterms:modified>
</cp:coreProperties>
</file>