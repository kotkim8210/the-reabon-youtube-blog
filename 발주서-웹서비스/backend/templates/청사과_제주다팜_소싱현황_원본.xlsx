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백업\0.소싱관리\농수산과일 단가 변동\"/>
    </mc:Choice>
  </mc:AlternateContent>
  <xr:revisionPtr revIDLastSave="0" documentId="13_ncr:1_{4EFE054D-BE6A-45E5-853B-2927DDDF5C5B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쥬얼리프룻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N10" i="2"/>
  <c r="N11" i="2"/>
  <c r="N12" i="2"/>
  <c r="N13" i="2"/>
  <c r="N14" i="2"/>
  <c r="N15" i="2"/>
  <c r="N8" i="2"/>
  <c r="G9" i="2"/>
  <c r="G10" i="2"/>
  <c r="G11" i="2"/>
  <c r="G12" i="2"/>
  <c r="G13" i="2"/>
  <c r="G14" i="2"/>
  <c r="G15" i="2"/>
  <c r="G8" i="2"/>
  <c r="P11" i="2" l="1"/>
  <c r="P10" i="2"/>
  <c r="Q10" i="2" s="1"/>
  <c r="T9" i="2"/>
  <c r="T14" i="2"/>
  <c r="P15" i="2"/>
  <c r="T11" i="2" l="1"/>
  <c r="T10" i="2"/>
  <c r="Q11" i="2"/>
  <c r="R11" i="2" s="1"/>
  <c r="S11" i="2" s="1"/>
  <c r="P12" i="2"/>
  <c r="T12" i="2"/>
  <c r="R10" i="2"/>
  <c r="S10" i="2" s="1"/>
  <c r="T13" i="2"/>
  <c r="P13" i="2"/>
  <c r="Q15" i="2"/>
  <c r="R15" i="2" s="1"/>
  <c r="S15" i="2" s="1"/>
  <c r="T15" i="2"/>
  <c r="P9" i="2"/>
  <c r="Q9" i="2" s="1"/>
  <c r="R9" i="2" s="1"/>
  <c r="S9" i="2" s="1"/>
  <c r="U9" i="2" s="1"/>
  <c r="V9" i="2" s="1"/>
  <c r="P8" i="2"/>
  <c r="T8" i="2"/>
  <c r="P14" i="2"/>
  <c r="Q14" i="2" s="1"/>
  <c r="U10" i="2" l="1"/>
  <c r="V10" i="2" s="1"/>
  <c r="U11" i="2"/>
  <c r="V11" i="2" s="1"/>
  <c r="Q12" i="2"/>
  <c r="Q13" i="2"/>
  <c r="R13" i="2" s="1"/>
  <c r="S13" i="2" s="1"/>
  <c r="U13" i="2" s="1"/>
  <c r="V13" i="2" s="1"/>
  <c r="U15" i="2"/>
  <c r="V15" i="2" s="1"/>
  <c r="Q8" i="2"/>
  <c r="R8" i="2" s="1"/>
  <c r="S8" i="2" s="1"/>
  <c r="U8" i="2" s="1"/>
  <c r="V8" i="2" s="1"/>
  <c r="R14" i="2"/>
  <c r="S14" i="2" s="1"/>
  <c r="U14" i="2" s="1"/>
  <c r="V14" i="2" s="1"/>
  <c r="R12" i="2" l="1"/>
  <c r="S12" i="2" s="1"/>
  <c r="U12" i="2" s="1"/>
  <c r="V12" i="2" s="1"/>
</calcChain>
</file>

<file path=xl/sharedStrings.xml><?xml version="1.0" encoding="utf-8"?>
<sst xmlns="http://schemas.openxmlformats.org/spreadsheetml/2006/main" count="75" uniqueCount="49">
  <si>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</si>
  <si>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</si>
  <si>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</si>
  <si>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</si>
  <si>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</si>
  <si>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</si>
  <si>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</si>
  <si>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</si>
  <si>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</si>
  <si>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</si>
  <si>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</si>
  <si>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</si>
  <si>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</si>
  <si>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</si>
  <si>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</si>
  <si>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</si>
  <si>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</si>
  <si>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</si>
  <si>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</si>
  <si>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</si>
  <si>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t>공급가(vip)</t>
    <phoneticPr fontId="1" type="noConversion"/>
  </si>
  <si>
    <t>경쟁사1</t>
    <phoneticPr fontId="1" type="noConversion"/>
  </si>
  <si>
    <t>경쟁사2</t>
    <phoneticPr fontId="1" type="noConversion"/>
  </si>
  <si>
    <t>https://pbfcompany.adminplus.co.kr/partner/?mod=product&amp;actpage=prt.list&amp;searchval=%EC%B9%B4%EB%9D%BC</t>
  </si>
  <si>
    <t>cs*로스비용</t>
    <phoneticPr fontId="1" type="noConversion"/>
  </si>
  <si>
    <t>제주다팜</t>
  </si>
  <si>
    <t>발주마감시간 : 오전 10시 0분까지</t>
    <phoneticPr fontId="1" type="noConversion"/>
  </si>
  <si>
    <t>소과(가정용)
포장재포함</t>
  </si>
  <si>
    <t>2kg</t>
  </si>
  <si>
    <t>▼2,900</t>
  </si>
  <si>
    <t>3kg</t>
  </si>
  <si>
    <t>▼5,400</t>
  </si>
  <si>
    <t>4kg</t>
  </si>
  <si>
    <t>▼7,800</t>
  </si>
  <si>
    <t>5kg</t>
  </si>
  <si>
    <t>▼9,300</t>
  </si>
  <si>
    <t>대과(가정용)
포장재포함</t>
  </si>
  <si>
    <t>▼400</t>
  </si>
  <si>
    <t>▲300</t>
  </si>
  <si>
    <t>▼2,800</t>
  </si>
  <si>
    <t>▼2,300</t>
  </si>
  <si>
    <r>
      <rPr>
        <sz val="14"/>
        <color theme="1"/>
        <rFont val="맑은 고딕"/>
        <family val="2"/>
        <charset val="129"/>
      </rPr>
      <t xml:space="preserve">소과 </t>
    </r>
    <r>
      <rPr>
        <sz val="14"/>
        <color theme="1"/>
        <rFont val="Arial"/>
        <family val="2"/>
      </rPr>
      <t>2kg</t>
    </r>
    <phoneticPr fontId="1" type="noConversion"/>
  </si>
  <si>
    <r>
      <rPr>
        <sz val="14"/>
        <color theme="1"/>
        <rFont val="맑은 고딕"/>
        <family val="2"/>
        <charset val="129"/>
      </rPr>
      <t>소과</t>
    </r>
    <r>
      <rPr>
        <sz val="14"/>
        <color theme="1"/>
        <rFont val="Arial"/>
        <family val="2"/>
      </rPr>
      <t xml:space="preserve"> 3kg</t>
    </r>
    <phoneticPr fontId="1" type="noConversion"/>
  </si>
  <si>
    <r>
      <rPr>
        <sz val="14"/>
        <color theme="1"/>
        <rFont val="맑은 고딕"/>
        <family val="2"/>
        <charset val="129"/>
      </rPr>
      <t>소과</t>
    </r>
    <r>
      <rPr>
        <sz val="14"/>
        <color theme="1"/>
        <rFont val="Arial"/>
        <family val="2"/>
      </rPr>
      <t xml:space="preserve"> 5kg</t>
    </r>
    <phoneticPr fontId="1" type="noConversion"/>
  </si>
  <si>
    <r>
      <rPr>
        <sz val="14"/>
        <color theme="1"/>
        <rFont val="맑은 고딕"/>
        <family val="2"/>
        <charset val="129"/>
      </rPr>
      <t>소과</t>
    </r>
    <r>
      <rPr>
        <sz val="14"/>
        <color theme="1"/>
        <rFont val="Arial"/>
        <family val="2"/>
      </rPr>
      <t xml:space="preserve"> 4kg</t>
    </r>
    <phoneticPr fontId="1" type="noConversion"/>
  </si>
  <si>
    <r>
      <rPr>
        <sz val="14"/>
        <color theme="1"/>
        <rFont val="맑은 고딕"/>
        <family val="2"/>
        <charset val="129"/>
      </rPr>
      <t xml:space="preserve">대과 </t>
    </r>
    <r>
      <rPr>
        <sz val="14"/>
        <color theme="1"/>
        <rFont val="Arial"/>
        <family val="2"/>
      </rPr>
      <t>2kg</t>
    </r>
    <phoneticPr fontId="1" type="noConversion"/>
  </si>
  <si>
    <r>
      <rPr>
        <sz val="14"/>
        <color theme="1"/>
        <rFont val="맑은 고딕"/>
        <family val="2"/>
        <charset val="129"/>
      </rPr>
      <t>대과</t>
    </r>
    <r>
      <rPr>
        <sz val="14"/>
        <color theme="1"/>
        <rFont val="Arial"/>
        <family val="2"/>
      </rPr>
      <t xml:space="preserve"> 3kg</t>
    </r>
    <phoneticPr fontId="1" type="noConversion"/>
  </si>
  <si>
    <r>
      <rPr>
        <sz val="14"/>
        <color theme="1"/>
        <rFont val="맑은 고딕"/>
        <family val="2"/>
        <charset val="129"/>
      </rPr>
      <t>대과</t>
    </r>
    <r>
      <rPr>
        <sz val="14"/>
        <color theme="1"/>
        <rFont val="Arial"/>
        <family val="2"/>
      </rPr>
      <t xml:space="preserve"> 5kg</t>
    </r>
    <phoneticPr fontId="1" type="noConversion"/>
  </si>
  <si>
    <r>
      <rPr>
        <sz val="14"/>
        <color theme="1"/>
        <rFont val="맑은 고딕"/>
        <family val="2"/>
        <charset val="129"/>
      </rPr>
      <t>대과</t>
    </r>
    <r>
      <rPr>
        <sz val="14"/>
        <color theme="1"/>
        <rFont val="Arial"/>
        <family val="2"/>
      </rPr>
      <t xml:space="preserve"> 4kg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</si>
</sst>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21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rgb="FF0000FF"/>
      <name val="Arial"/>
      <family val="2"/>
    </font>
    <font>
      <sz val="14"/>
      <color rgb="FFFF0000"/>
      <name val="Arial"/>
      <family val="2"/>
    </font>
    <font>
      <sz val="14"/>
      <color theme="1"/>
      <name val="맑은 고딕"/>
      <family val="2"/>
      <charset val="129"/>
    </font>
    <font>
      <sz val="14"/>
      <color theme="1"/>
      <name val="Arial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  <xf numFmtId="0" fontId="16" fillId="0" borderId="7"/>
    <xf numFmtId="0" fontId="3" fillId="0" borderId="7" applyNumberFormat="0" applyFill="0" applyBorder="0" applyAlignment="0" applyProtection="0"/>
  </cellStyleXfs>
  <cellXfs count="89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 shrinkToFit="1"/>
    </xf>
    <xf numFmtId="0" fontId="3" fillId="11" borderId="9" xfId="1" applyFill="1" applyBorder="1" applyAlignment="1">
      <alignment horizontal="center" vertical="center" shrinkToFit="1"/>
    </xf>
    <xf numFmtId="181" fontId="10" fillId="10" borderId="2" xfId="0" applyNumberFormat="1" applyFont="1" applyFill="1" applyBorder="1" applyAlignment="1">
      <alignment horizontal="center" vertical="center"/>
    </xf>
    <xf numFmtId="177" fontId="10" fillId="10" borderId="2" xfId="0" applyNumberFormat="1" applyFont="1" applyFill="1" applyBorder="1" applyAlignment="1">
      <alignment horizontal="center" vertical="center"/>
    </xf>
    <xf numFmtId="1" fontId="10" fillId="10" borderId="2" xfId="0" applyNumberFormat="1" applyFont="1" applyFill="1" applyBorder="1" applyAlignment="1">
      <alignment horizontal="center" vertical="center"/>
    </xf>
    <xf numFmtId="176" fontId="10" fillId="10" borderId="8" xfId="0" applyNumberFormat="1" applyFont="1" applyFill="1" applyBorder="1" applyAlignment="1">
      <alignment horizontal="center" vertical="center"/>
    </xf>
    <xf numFmtId="176" fontId="10" fillId="10" borderId="5" xfId="0" applyNumberFormat="1" applyFont="1" applyFill="1" applyBorder="1" applyAlignment="1">
      <alignment horizontal="center" vertical="center"/>
    </xf>
    <xf numFmtId="176" fontId="10" fillId="10" borderId="6" xfId="0" applyNumberFormat="1" applyFont="1" applyFill="1" applyBorder="1" applyAlignment="1">
      <alignment horizontal="center" vertical="center"/>
    </xf>
    <xf numFmtId="177" fontId="10" fillId="10" borderId="9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3" fontId="17" fillId="12" borderId="20" xfId="0" applyNumberFormat="1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3" fontId="17" fillId="12" borderId="21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7" fillId="12" borderId="20" xfId="0" applyFont="1" applyFill="1" applyBorder="1" applyAlignment="1">
      <alignment horizontal="center" vertical="center" wrapText="1"/>
    </xf>
    <xf numFmtId="0" fontId="17" fillId="12" borderId="21" xfId="0" applyFont="1" applyFill="1" applyBorder="1" applyAlignment="1">
      <alignment horizontal="center" vertical="center" wrapText="1"/>
    </xf>
    <xf numFmtId="0" fontId="18" fillId="12" borderId="21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</cellXfs>
  <cellStyles count="6">
    <cellStyle name="常规 68 2 2" xfId="2" xr:uid="{00000000-0005-0000-0000-000000000000}"/>
    <cellStyle name="千位分隔 2 2" xfId="3" xr:uid="{00000000-0005-0000-0000-000001000000}"/>
    <cellStyle name="표준" xfId="0" builtinId="0"/>
    <cellStyle name="표준 2" xfId="4" xr:uid="{525E6785-6E5A-4E50-A76D-32787B83A0E4}"/>
    <cellStyle name="하이퍼링크" xfId="1" builtinId="8"/>
    <cellStyle name="하이퍼링크 2" xfId="5" xr:uid="{3A2CA892-927E-4527-B89E-E4BC09F8C596}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63010</xdr:rowOff>
    </xdr:to>
    <xdr:sp macro="" textlink="">
      <xdr:nvSpPr>
        <xdr:cNvPr id="1037" name="AutoShape 13" descr="무제한">
          <a:extLst>
            <a:ext uri="{FF2B5EF4-FFF2-40B4-BE49-F238E27FC236}">
              <a16:creationId xmlns:a16="http://schemas.microsoft.com/office/drawing/2014/main" id="{C93BED01-9D5A-7AC7-77D4-FC3B17D4469F}"/>
            </a:ext>
          </a:extLst>
        </xdr:cNvPr>
        <xdr:cNvSpPr>
          <a:spLocks noChangeAspect="1" noChangeArrowheads="1"/>
        </xdr:cNvSpPr>
      </xdr:nvSpPr>
      <xdr:spPr bwMode="auto">
        <a:xfrm>
          <a:off x="5048250" y="49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63010</xdr:rowOff>
    </xdr:to>
    <xdr:sp macro="" textlink="">
      <xdr:nvSpPr>
        <xdr:cNvPr id="1038" name="AutoShape 14" descr="무제한">
          <a:extLst>
            <a:ext uri="{FF2B5EF4-FFF2-40B4-BE49-F238E27FC236}">
              <a16:creationId xmlns:a16="http://schemas.microsoft.com/office/drawing/2014/main" id="{9D1542B5-8992-A90D-6C46-5DD31CC97A0D}"/>
            </a:ext>
          </a:extLst>
        </xdr:cNvPr>
        <xdr:cNvSpPr>
          <a:spLocks noChangeAspect="1" noChangeArrowheads="1"/>
        </xdr:cNvSpPr>
      </xdr:nvSpPr>
      <xdr:spPr bwMode="auto">
        <a:xfrm>
          <a:off x="504825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63010</xdr:rowOff>
    </xdr:to>
    <xdr:sp macro="" textlink="">
      <xdr:nvSpPr>
        <xdr:cNvPr id="1039" name="AutoShape 15" descr="무제한">
          <a:extLst>
            <a:ext uri="{FF2B5EF4-FFF2-40B4-BE49-F238E27FC236}">
              <a16:creationId xmlns:a16="http://schemas.microsoft.com/office/drawing/2014/main" id="{9728C8C5-7456-76D6-2D01-E4143E290F67}"/>
            </a:ext>
          </a:extLst>
        </xdr:cNvPr>
        <xdr:cNvSpPr>
          <a:spLocks noChangeAspect="1" noChangeArrowheads="1"/>
        </xdr:cNvSpPr>
      </xdr:nvSpPr>
      <xdr:spPr bwMode="auto">
        <a:xfrm>
          <a:off x="504825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63011</xdr:rowOff>
    </xdr:to>
    <xdr:sp macro="" textlink="">
      <xdr:nvSpPr>
        <xdr:cNvPr id="1040" name="AutoShape 16" descr="무제한">
          <a:extLst>
            <a:ext uri="{FF2B5EF4-FFF2-40B4-BE49-F238E27FC236}">
              <a16:creationId xmlns:a16="http://schemas.microsoft.com/office/drawing/2014/main" id="{FD5BE6FE-9B33-B0A5-8989-71911299DE9B}"/>
            </a:ext>
          </a:extLst>
        </xdr:cNvPr>
        <xdr:cNvSpPr>
          <a:spLocks noChangeAspect="1" noChangeArrowheads="1"/>
        </xdr:cNvSpPr>
      </xdr:nvSpPr>
      <xdr:spPr bwMode="auto">
        <a:xfrm>
          <a:off x="5048250" y="63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63011</xdr:rowOff>
    </xdr:to>
    <xdr:sp macro="" textlink="">
      <xdr:nvSpPr>
        <xdr:cNvPr id="1041" name="AutoShape 17" descr="무제한">
          <a:extLst>
            <a:ext uri="{FF2B5EF4-FFF2-40B4-BE49-F238E27FC236}">
              <a16:creationId xmlns:a16="http://schemas.microsoft.com/office/drawing/2014/main" id="{0E172C3A-9CDD-7E43-72BD-4291689674A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68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63011</xdr:rowOff>
    </xdr:to>
    <xdr:sp macro="" textlink="">
      <xdr:nvSpPr>
        <xdr:cNvPr id="1042" name="AutoShape 18" descr="무제한">
          <a:extLst>
            <a:ext uri="{FF2B5EF4-FFF2-40B4-BE49-F238E27FC236}">
              <a16:creationId xmlns:a16="http://schemas.microsoft.com/office/drawing/2014/main" id="{6A9D02C4-ACD1-093A-D6FF-AA9FF0B53D45}"/>
            </a:ext>
          </a:extLst>
        </xdr:cNvPr>
        <xdr:cNvSpPr>
          <a:spLocks noChangeAspect="1" noChangeArrowheads="1"/>
        </xdr:cNvSpPr>
      </xdr:nvSpPr>
      <xdr:spPr bwMode="auto">
        <a:xfrm>
          <a:off x="5048250" y="72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63011</xdr:rowOff>
    </xdr:to>
    <xdr:sp macro="" textlink="">
      <xdr:nvSpPr>
        <xdr:cNvPr id="1043" name="AutoShape 19" descr="무제한">
          <a:extLst>
            <a:ext uri="{FF2B5EF4-FFF2-40B4-BE49-F238E27FC236}">
              <a16:creationId xmlns:a16="http://schemas.microsoft.com/office/drawing/2014/main" id="{2CBFC038-282F-6740-96A7-1FC14373D2EE}"/>
            </a:ext>
          </a:extLst>
        </xdr:cNvPr>
        <xdr:cNvSpPr>
          <a:spLocks noChangeAspect="1" noChangeArrowheads="1"/>
        </xdr:cNvSpPr>
      </xdr:nvSpPr>
      <xdr:spPr bwMode="auto">
        <a:xfrm>
          <a:off x="5048250" y="77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63011</xdr:rowOff>
    </xdr:to>
    <xdr:sp macro="" textlink="">
      <xdr:nvSpPr>
        <xdr:cNvPr id="1044" name="AutoShape 20" descr="무제한">
          <a:extLst>
            <a:ext uri="{FF2B5EF4-FFF2-40B4-BE49-F238E27FC236}">
              <a16:creationId xmlns:a16="http://schemas.microsoft.com/office/drawing/2014/main" id="{889B9F26-9CA7-0DB1-C2C1-330CC69FDCB0}"/>
            </a:ext>
          </a:extLst>
        </xdr:cNvPr>
        <xdr:cNvSpPr>
          <a:spLocks noChangeAspect="1" noChangeArrowheads="1"/>
        </xdr:cNvSpPr>
      </xdr:nvSpPr>
      <xdr:spPr bwMode="auto">
        <a:xfrm>
          <a:off x="5048250" y="82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63011</xdr:rowOff>
    </xdr:to>
    <xdr:sp macro="" textlink="">
      <xdr:nvSpPr>
        <xdr:cNvPr id="1045" name="AutoShape 21" descr="무제한">
          <a:extLst>
            <a:ext uri="{FF2B5EF4-FFF2-40B4-BE49-F238E27FC236}">
              <a16:creationId xmlns:a16="http://schemas.microsoft.com/office/drawing/2014/main" id="{E20678C3-9F73-5ACA-956C-1577414AF83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63010</xdr:rowOff>
    </xdr:to>
    <xdr:sp macro="" textlink="">
      <xdr:nvSpPr>
        <xdr:cNvPr id="1046" name="AutoShape 22" descr="무제한">
          <a:extLst>
            <a:ext uri="{FF2B5EF4-FFF2-40B4-BE49-F238E27FC236}">
              <a16:creationId xmlns:a16="http://schemas.microsoft.com/office/drawing/2014/main" id="{9EA3A1BE-7C89-C8B6-C0BD-B8496F4BDA72}"/>
            </a:ext>
          </a:extLst>
        </xdr:cNvPr>
        <xdr:cNvSpPr>
          <a:spLocks noChangeAspect="1" noChangeArrowheads="1"/>
        </xdr:cNvSpPr>
      </xdr:nvSpPr>
      <xdr:spPr bwMode="auto">
        <a:xfrm>
          <a:off x="5048250" y="91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63010</xdr:rowOff>
    </xdr:to>
    <xdr:sp macro="" textlink="">
      <xdr:nvSpPr>
        <xdr:cNvPr id="1047" name="AutoShape 23" descr="무제한">
          <a:extLst>
            <a:ext uri="{FF2B5EF4-FFF2-40B4-BE49-F238E27FC236}">
              <a16:creationId xmlns:a16="http://schemas.microsoft.com/office/drawing/2014/main" id="{0A967D31-B897-F913-FEED-E3801955E70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813"/>
  <sheetViews>
    <sheetView showGridLines="0" tabSelected="1" zoomScale="130" zoomScaleNormal="130" workbookViewId="0">
      <selection activeCell="H16" sqref="H16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28515625" style="1" customWidth="1"/>
    <col min="5" max="5" width="33" style="1" bestFit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2" style="1" customWidth="1"/>
    <col min="18" max="18" width="9.28515625" style="1" hidden="1" customWidth="1"/>
    <col min="19" max="19" width="7.28515625" style="1" hidden="1" customWidth="1"/>
    <col min="20" max="20" width="5.8554687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70" t="s">
        <v>16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73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8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79" t="s">
        <v>1</v>
      </c>
      <c r="D7" s="80"/>
      <c r="E7" s="47" t="s">
        <v>13</v>
      </c>
      <c r="F7" s="47" t="s">
        <v>15</v>
      </c>
      <c r="G7" s="48" t="s">
        <v>2</v>
      </c>
      <c r="H7" s="48" t="s">
        <v>19</v>
      </c>
      <c r="I7" s="49" t="s">
        <v>20</v>
      </c>
      <c r="J7" s="50" t="s">
        <v>17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24</v>
      </c>
      <c r="U7" s="40" t="s">
        <v>7</v>
      </c>
      <c r="V7" s="42" t="s">
        <v>8</v>
      </c>
      <c r="W7" s="44"/>
      <c r="X7" s="22" t="s">
        <v>12</v>
      </c>
      <c r="Y7" s="22" t="s">
        <v>21</v>
      </c>
      <c r="Z7" s="22" t="s">
        <v>22</v>
      </c>
    </row>
    <row r="8" spans="1:26" ht="18" customHeight="1" thickBot="1">
      <c r="A8" s="28"/>
      <c r="B8" s="23">
        <v>1</v>
      </c>
      <c r="C8" s="68" t="s">
        <v>25</v>
      </c>
      <c r="D8" s="69"/>
      <c r="E8" s="87" t="s">
        <v>41</v>
      </c>
      <c r="F8" s="34">
        <v>1</v>
      </c>
      <c r="G8" s="25">
        <f>H8+500</f>
        <v>11300</v>
      </c>
      <c r="H8" s="24">
        <v>10800</v>
      </c>
      <c r="I8" s="65">
        <v>5900</v>
      </c>
      <c r="J8" s="29">
        <v>0</v>
      </c>
      <c r="K8" s="30">
        <v>0.1166</v>
      </c>
      <c r="L8" s="31"/>
      <c r="M8" s="31">
        <v>0</v>
      </c>
      <c r="N8" s="27">
        <f>H8*3%</f>
        <v>324</v>
      </c>
      <c r="O8" s="26"/>
      <c r="P8" s="32">
        <f t="shared" ref="P8:P15" si="0">(G8*K8)+(H8*3.63%)</f>
        <v>1709.62</v>
      </c>
      <c r="Q8" s="32">
        <f t="shared" ref="Q8:Q15" si="1">((G8+H8)-(I8+L8+M8+N8+P8))*0%</f>
        <v>0</v>
      </c>
      <c r="R8" s="32">
        <f t="shared" ref="R8:R15" si="2">G8+H8-I8-L8-M8-N8-P8-Q8</f>
        <v>14166.380000000001</v>
      </c>
      <c r="S8" s="32">
        <f t="shared" ref="S8:S15" si="3">R8*16%</f>
        <v>2266.6208000000001</v>
      </c>
      <c r="T8" s="33">
        <f>G8*1%</f>
        <v>113</v>
      </c>
      <c r="U8" s="41">
        <f>H8-I8-L8-M8-N8-P8-Q8-S8-T8</f>
        <v>486.75919999999996</v>
      </c>
      <c r="V8" s="43">
        <f t="shared" ref="V8:V15" si="4">IF(U8=0,"",U8/G8)</f>
        <v>4.3076035398230086E-2</v>
      </c>
      <c r="W8" s="37"/>
      <c r="X8" s="53" t="s">
        <v>23</v>
      </c>
      <c r="Y8" s="52"/>
      <c r="Z8" s="36"/>
    </row>
    <row r="9" spans="1:26" ht="18" customHeight="1" thickBot="1">
      <c r="A9" s="28"/>
      <c r="B9" s="23">
        <v>2</v>
      </c>
      <c r="C9" s="68" t="s">
        <v>25</v>
      </c>
      <c r="D9" s="69"/>
      <c r="E9" s="88" t="s">
        <v>42</v>
      </c>
      <c r="F9" s="34">
        <v>1</v>
      </c>
      <c r="G9" s="25">
        <f t="shared" ref="G9:G15" si="5">H9+500</f>
        <v>13300</v>
      </c>
      <c r="H9" s="24">
        <v>12800</v>
      </c>
      <c r="I9" s="67">
        <v>6400</v>
      </c>
      <c r="J9" s="29">
        <v>0</v>
      </c>
      <c r="K9" s="30">
        <v>0.1166</v>
      </c>
      <c r="L9" s="31"/>
      <c r="M9" s="31">
        <v>0</v>
      </c>
      <c r="N9" s="27">
        <f t="shared" ref="N9:N15" si="6">H9*3%</f>
        <v>384</v>
      </c>
      <c r="O9" s="26"/>
      <c r="P9" s="32">
        <f t="shared" si="0"/>
        <v>2015.42</v>
      </c>
      <c r="Q9" s="32">
        <f t="shared" si="1"/>
        <v>0</v>
      </c>
      <c r="R9" s="32">
        <f t="shared" si="2"/>
        <v>17300.580000000002</v>
      </c>
      <c r="S9" s="32">
        <f t="shared" si="3"/>
        <v>2768.0928000000004</v>
      </c>
      <c r="T9" s="33">
        <f t="shared" ref="T9:T15" si="7">G9*1%</f>
        <v>133</v>
      </c>
      <c r="U9" s="41">
        <f t="shared" ref="U9:U15" si="8">H9-I9-L9-M9-N9-P9-Q9-S9-T9</f>
        <v>1099.4871999999996</v>
      </c>
      <c r="V9" s="43">
        <f t="shared" si="4"/>
        <v>8.2668210526315761E-2</v>
      </c>
      <c r="W9" s="37"/>
      <c r="X9" s="53" t="s">
        <v>23</v>
      </c>
      <c r="Y9" s="52"/>
      <c r="Z9" s="36"/>
    </row>
    <row r="10" spans="1:26" ht="18" customHeight="1" thickBot="1">
      <c r="A10" s="28"/>
      <c r="B10" s="23">
        <v>3</v>
      </c>
      <c r="C10" s="68" t="s">
        <v>25</v>
      </c>
      <c r="D10" s="69"/>
      <c r="E10" s="88" t="s">
        <v>44</v>
      </c>
      <c r="F10" s="34">
        <v>1</v>
      </c>
      <c r="G10" s="25">
        <f t="shared" si="5"/>
        <v>14300</v>
      </c>
      <c r="H10" s="24">
        <v>13800</v>
      </c>
      <c r="I10" s="67">
        <v>7000</v>
      </c>
      <c r="J10" s="29">
        <v>0</v>
      </c>
      <c r="K10" s="30">
        <v>0.1166</v>
      </c>
      <c r="L10" s="31"/>
      <c r="M10" s="31">
        <v>0</v>
      </c>
      <c r="N10" s="27">
        <f t="shared" si="6"/>
        <v>414</v>
      </c>
      <c r="O10" s="26"/>
      <c r="P10" s="32">
        <f t="shared" ref="P10:P11" si="9">(G10*K10)+(H10*3.63%)</f>
        <v>2168.3199999999997</v>
      </c>
      <c r="Q10" s="32">
        <f t="shared" ref="Q10:Q11" si="10">((G10+H10)-(I10+L10+M10+N10+P10))*0%</f>
        <v>0</v>
      </c>
      <c r="R10" s="32">
        <f t="shared" ref="R10:R11" si="11">G10+H10-I10-L10-M10-N10-P10-Q10</f>
        <v>18517.68</v>
      </c>
      <c r="S10" s="32">
        <f t="shared" ref="S10:S11" si="12">R10*16%</f>
        <v>2962.8288000000002</v>
      </c>
      <c r="T10" s="33">
        <f t="shared" ref="T10:T11" si="13">G10*1%</f>
        <v>143</v>
      </c>
      <c r="U10" s="41">
        <f t="shared" ref="U10:U11" si="14">H10-I10-L10-M10-N10-P10-Q10-S10-T10</f>
        <v>1111.8512000000001</v>
      </c>
      <c r="V10" s="43">
        <f t="shared" ref="V10:V11" si="15">IF(U10=0,"",U10/G10)</f>
        <v>7.7751832167832172E-2</v>
      </c>
      <c r="W10" s="37"/>
      <c r="X10" s="53" t="s">
        <v>23</v>
      </c>
      <c r="Y10" s="52"/>
      <c r="Z10" s="55"/>
    </row>
    <row r="11" spans="1:26" ht="18" customHeight="1" thickBot="1">
      <c r="A11" s="28"/>
      <c r="B11" s="23">
        <v>4</v>
      </c>
      <c r="C11" s="68" t="s">
        <v>25</v>
      </c>
      <c r="D11" s="69"/>
      <c r="E11" s="88" t="s">
        <v>43</v>
      </c>
      <c r="F11" s="34">
        <v>1</v>
      </c>
      <c r="G11" s="25">
        <f t="shared" si="5"/>
        <v>15300</v>
      </c>
      <c r="H11" s="24">
        <v>14800</v>
      </c>
      <c r="I11" s="67">
        <v>8500</v>
      </c>
      <c r="J11" s="29">
        <v>0</v>
      </c>
      <c r="K11" s="30">
        <v>0.1166</v>
      </c>
      <c r="L11" s="31"/>
      <c r="M11" s="31">
        <v>0</v>
      </c>
      <c r="N11" s="27">
        <f t="shared" si="6"/>
        <v>444</v>
      </c>
      <c r="O11" s="26"/>
      <c r="P11" s="32">
        <f t="shared" si="9"/>
        <v>2321.2200000000003</v>
      </c>
      <c r="Q11" s="32">
        <f t="shared" si="10"/>
        <v>0</v>
      </c>
      <c r="R11" s="32">
        <f t="shared" si="11"/>
        <v>18834.78</v>
      </c>
      <c r="S11" s="32">
        <f t="shared" si="12"/>
        <v>3013.5647999999997</v>
      </c>
      <c r="T11" s="33">
        <f t="shared" si="13"/>
        <v>153</v>
      </c>
      <c r="U11" s="41">
        <f t="shared" si="14"/>
        <v>368.2152000000001</v>
      </c>
      <c r="V11" s="43">
        <f t="shared" si="15"/>
        <v>2.4066352941176476E-2</v>
      </c>
      <c r="W11" s="37"/>
      <c r="X11" s="53" t="s">
        <v>23</v>
      </c>
      <c r="Y11" s="52"/>
      <c r="Z11" s="54"/>
    </row>
    <row r="12" spans="1:26" ht="18" customHeight="1" thickBot="1">
      <c r="A12" s="28"/>
      <c r="B12" s="23">
        <v>5</v>
      </c>
      <c r="C12" s="68" t="s">
        <v>25</v>
      </c>
      <c r="D12" s="69"/>
      <c r="E12" s="88" t="s">
        <v>45</v>
      </c>
      <c r="F12" s="34">
        <v>1</v>
      </c>
      <c r="G12" s="25">
        <f t="shared" si="5"/>
        <v>18300</v>
      </c>
      <c r="H12" s="24">
        <v>17800</v>
      </c>
      <c r="I12" s="67">
        <v>10000</v>
      </c>
      <c r="J12" s="29">
        <v>0</v>
      </c>
      <c r="K12" s="30">
        <v>0.1166</v>
      </c>
      <c r="L12" s="31"/>
      <c r="M12" s="31">
        <v>0</v>
      </c>
      <c r="N12" s="27">
        <f t="shared" si="6"/>
        <v>534</v>
      </c>
      <c r="O12" s="26"/>
      <c r="P12" s="32">
        <f t="shared" ref="P12" si="16">(G12*K12)+(H12*3.63%)</f>
        <v>2779.9199999999996</v>
      </c>
      <c r="Q12" s="32">
        <f t="shared" ref="Q12" si="17">((G12+H12)-(I12+L12+M12+N12+P12))*0%</f>
        <v>0</v>
      </c>
      <c r="R12" s="32">
        <f t="shared" ref="R12" si="18">G12+H12-I12-L12-M12-N12-P12-Q12</f>
        <v>22786.080000000002</v>
      </c>
      <c r="S12" s="32">
        <f t="shared" ref="S12" si="19">R12*16%</f>
        <v>3645.7728000000002</v>
      </c>
      <c r="T12" s="33">
        <f t="shared" ref="T12" si="20">G12*1%</f>
        <v>183</v>
      </c>
      <c r="U12" s="41">
        <f t="shared" ref="U12" si="21">H12-I12-L12-M12-N12-P12-Q12-S12-T12</f>
        <v>657.30719999999974</v>
      </c>
      <c r="V12" s="43">
        <f t="shared" ref="V12" si="22">IF(U12=0,"",U12/G12)</f>
        <v>3.591842622950818E-2</v>
      </c>
      <c r="W12" s="37"/>
      <c r="X12" s="53" t="s">
        <v>23</v>
      </c>
      <c r="Y12" s="52"/>
      <c r="Z12" s="55"/>
    </row>
    <row r="13" spans="1:26" ht="18" customHeight="1" thickBot="1">
      <c r="A13" s="28"/>
      <c r="B13" s="23">
        <v>6</v>
      </c>
      <c r="C13" s="68" t="s">
        <v>25</v>
      </c>
      <c r="D13" s="69"/>
      <c r="E13" s="88" t="s">
        <v>46</v>
      </c>
      <c r="F13" s="34">
        <v>1</v>
      </c>
      <c r="G13" s="25">
        <f t="shared" si="5"/>
        <v>24300</v>
      </c>
      <c r="H13" s="24">
        <v>23800</v>
      </c>
      <c r="I13" s="67">
        <v>13500</v>
      </c>
      <c r="J13" s="29">
        <v>0</v>
      </c>
      <c r="K13" s="30">
        <v>0.1166</v>
      </c>
      <c r="L13" s="31"/>
      <c r="M13" s="31">
        <v>0</v>
      </c>
      <c r="N13" s="27">
        <f t="shared" si="6"/>
        <v>714</v>
      </c>
      <c r="O13" s="26"/>
      <c r="P13" s="32">
        <f t="shared" ref="P13" si="23">(G13*K13)+(H13*3.63%)</f>
        <v>3697.32</v>
      </c>
      <c r="Q13" s="32">
        <f t="shared" ref="Q13" si="24">((G13+H13)-(I13+L13+M13+N13+P13))*0%</f>
        <v>0</v>
      </c>
      <c r="R13" s="32">
        <f t="shared" ref="R13" si="25">G13+H13-I13-L13-M13-N13-P13-Q13</f>
        <v>30188.68</v>
      </c>
      <c r="S13" s="32">
        <f t="shared" ref="S13" si="26">R13*16%</f>
        <v>4830.1887999999999</v>
      </c>
      <c r="T13" s="33">
        <f t="shared" ref="T13" si="27">G13*1%</f>
        <v>243</v>
      </c>
      <c r="U13" s="41">
        <f t="shared" ref="U13" si="28">H13-I13-L13-M13-N13-P13-Q13-S13-T13</f>
        <v>815.49120000000039</v>
      </c>
      <c r="V13" s="43">
        <f t="shared" ref="V13" si="29">IF(U13=0,"",U13/G13)</f>
        <v>3.3559308641975323E-2</v>
      </c>
      <c r="W13" s="37"/>
      <c r="X13" s="53" t="s">
        <v>23</v>
      </c>
      <c r="Y13" s="52"/>
      <c r="Z13" s="36"/>
    </row>
    <row r="14" spans="1:26" s="63" customFormat="1" ht="18" customHeight="1" thickBot="1">
      <c r="A14" s="28"/>
      <c r="B14" s="23">
        <v>7</v>
      </c>
      <c r="C14" s="68" t="s">
        <v>25</v>
      </c>
      <c r="D14" s="69"/>
      <c r="E14" s="88" t="s">
        <v>48</v>
      </c>
      <c r="F14" s="34">
        <v>1</v>
      </c>
      <c r="G14" s="25">
        <f t="shared" si="5"/>
        <v>26300</v>
      </c>
      <c r="H14" s="24">
        <v>25800</v>
      </c>
      <c r="I14" s="67">
        <v>15000</v>
      </c>
      <c r="J14" s="56">
        <v>0</v>
      </c>
      <c r="K14" s="57">
        <v>0.1166</v>
      </c>
      <c r="L14" s="58"/>
      <c r="M14" s="58">
        <v>0</v>
      </c>
      <c r="N14" s="27">
        <f t="shared" si="6"/>
        <v>774</v>
      </c>
      <c r="O14" s="26"/>
      <c r="P14" s="59">
        <f t="shared" si="0"/>
        <v>4003.12</v>
      </c>
      <c r="Q14" s="59">
        <f t="shared" si="1"/>
        <v>0</v>
      </c>
      <c r="R14" s="59">
        <f t="shared" si="2"/>
        <v>32322.880000000001</v>
      </c>
      <c r="S14" s="59">
        <f t="shared" si="3"/>
        <v>5171.6608000000006</v>
      </c>
      <c r="T14" s="60">
        <f>G14*1%</f>
        <v>263</v>
      </c>
      <c r="U14" s="61">
        <f t="shared" si="8"/>
        <v>588.21919999999955</v>
      </c>
      <c r="V14" s="62">
        <f t="shared" si="4"/>
        <v>2.2365749049429642E-2</v>
      </c>
      <c r="W14" s="37"/>
      <c r="X14" s="53"/>
      <c r="Y14" s="52" t="s">
        <v>23</v>
      </c>
      <c r="Z14" s="36"/>
    </row>
    <row r="15" spans="1:26" ht="18" customHeight="1" thickBot="1">
      <c r="A15" s="28"/>
      <c r="B15" s="23">
        <v>8</v>
      </c>
      <c r="C15" s="68" t="s">
        <v>25</v>
      </c>
      <c r="D15" s="69"/>
      <c r="E15" s="88" t="s">
        <v>47</v>
      </c>
      <c r="F15" s="34">
        <v>1</v>
      </c>
      <c r="G15" s="25">
        <f t="shared" si="5"/>
        <v>33300</v>
      </c>
      <c r="H15" s="24">
        <v>32800</v>
      </c>
      <c r="I15" s="67">
        <v>19000</v>
      </c>
      <c r="J15" s="29">
        <v>0</v>
      </c>
      <c r="K15" s="30">
        <v>0.1166</v>
      </c>
      <c r="L15" s="31"/>
      <c r="M15" s="31">
        <v>0</v>
      </c>
      <c r="N15" s="27">
        <f t="shared" si="6"/>
        <v>984</v>
      </c>
      <c r="O15" s="26"/>
      <c r="P15" s="32">
        <f t="shared" si="0"/>
        <v>5073.42</v>
      </c>
      <c r="Q15" s="32">
        <f t="shared" si="1"/>
        <v>0</v>
      </c>
      <c r="R15" s="32">
        <f t="shared" si="2"/>
        <v>41042.58</v>
      </c>
      <c r="S15" s="32">
        <f t="shared" si="3"/>
        <v>6566.8128000000006</v>
      </c>
      <c r="T15" s="33">
        <f t="shared" si="7"/>
        <v>333</v>
      </c>
      <c r="U15" s="41">
        <f t="shared" si="8"/>
        <v>842.76719999999932</v>
      </c>
      <c r="V15" s="43">
        <f t="shared" si="4"/>
        <v>2.5308324324324304E-2</v>
      </c>
      <c r="W15" s="37"/>
      <c r="X15" s="53"/>
      <c r="Y15" s="52" t="s">
        <v>23</v>
      </c>
      <c r="Z15" s="36"/>
    </row>
    <row r="16" spans="1:26" ht="18" customHeight="1">
      <c r="A16" s="8"/>
      <c r="B16" s="8"/>
      <c r="D16" s="3" t="s">
        <v>26</v>
      </c>
      <c r="E16" s="3"/>
      <c r="F16" s="3" t="s">
        <v>18</v>
      </c>
      <c r="G16" s="9"/>
      <c r="H16" s="9"/>
      <c r="I16" s="9"/>
      <c r="J16" s="18"/>
      <c r="K16" s="10"/>
      <c r="L16" s="11"/>
      <c r="M16" s="11"/>
      <c r="N16" s="9"/>
      <c r="O16" s="9"/>
      <c r="P16" s="9"/>
      <c r="Q16" s="9"/>
      <c r="R16" s="9"/>
      <c r="S16" s="9"/>
      <c r="T16" s="9"/>
      <c r="U16" s="9"/>
      <c r="V16" s="12"/>
      <c r="W16" s="12"/>
      <c r="X16" s="14"/>
      <c r="Y16" s="14"/>
      <c r="Z16" s="14"/>
    </row>
    <row r="17" spans="1:26" ht="18.75" customHeight="1">
      <c r="A17" s="8"/>
      <c r="B17" s="8"/>
      <c r="C17" s="8"/>
      <c r="D17" s="8"/>
      <c r="E17" s="3"/>
      <c r="F17" s="3"/>
      <c r="G17" s="9"/>
      <c r="H17" s="9"/>
      <c r="J17" s="18"/>
      <c r="K17" s="8"/>
      <c r="L17" s="11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 thickBot="1">
      <c r="A18" s="8"/>
      <c r="B18" s="8"/>
      <c r="C18" s="8"/>
      <c r="D18" s="8"/>
      <c r="E18" s="3"/>
      <c r="F18" s="3"/>
      <c r="G18" s="9"/>
      <c r="H18" s="9"/>
      <c r="I18" s="9"/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 thickBot="1">
      <c r="A19" s="8"/>
      <c r="B19" s="8"/>
      <c r="C19" s="8"/>
      <c r="D19" s="81" t="s">
        <v>27</v>
      </c>
      <c r="E19" s="64" t="s">
        <v>28</v>
      </c>
      <c r="F19" s="64" t="s">
        <v>28</v>
      </c>
      <c r="G19" s="65">
        <v>5900</v>
      </c>
      <c r="H19" s="65">
        <v>8800</v>
      </c>
      <c r="I19" s="84" t="s">
        <v>29</v>
      </c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 thickBot="1">
      <c r="A20" s="8"/>
      <c r="B20" s="8"/>
      <c r="C20" s="8"/>
      <c r="D20" s="82"/>
      <c r="E20" s="66" t="s">
        <v>30</v>
      </c>
      <c r="F20" s="66" t="s">
        <v>30</v>
      </c>
      <c r="G20" s="67">
        <v>6400</v>
      </c>
      <c r="H20" s="67">
        <v>11800</v>
      </c>
      <c r="I20" s="85" t="s">
        <v>31</v>
      </c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 thickBot="1">
      <c r="A21" s="8"/>
      <c r="B21" s="8"/>
      <c r="C21" s="8"/>
      <c r="D21" s="82"/>
      <c r="E21" s="66" t="s">
        <v>32</v>
      </c>
      <c r="F21" s="66" t="s">
        <v>32</v>
      </c>
      <c r="G21" s="67">
        <v>7000</v>
      </c>
      <c r="H21" s="67">
        <v>14800</v>
      </c>
      <c r="I21" s="85" t="s">
        <v>33</v>
      </c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 thickBot="1">
      <c r="A22" s="8"/>
      <c r="B22" s="8"/>
      <c r="C22" s="8"/>
      <c r="D22" s="83"/>
      <c r="E22" s="66" t="s">
        <v>34</v>
      </c>
      <c r="F22" s="66" t="s">
        <v>34</v>
      </c>
      <c r="G22" s="67">
        <v>8500</v>
      </c>
      <c r="H22" s="67">
        <v>17800</v>
      </c>
      <c r="I22" s="85" t="s">
        <v>35</v>
      </c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thickBot="1">
      <c r="A23" s="8"/>
      <c r="B23" s="8"/>
      <c r="C23" s="8"/>
      <c r="D23" s="81" t="s">
        <v>36</v>
      </c>
      <c r="E23" s="66" t="s">
        <v>28</v>
      </c>
      <c r="F23" s="66" t="s">
        <v>28</v>
      </c>
      <c r="G23" s="67">
        <v>10000</v>
      </c>
      <c r="H23" s="67">
        <v>10400</v>
      </c>
      <c r="I23" s="85" t="s">
        <v>37</v>
      </c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 thickBot="1">
      <c r="A24" s="8"/>
      <c r="B24" s="8"/>
      <c r="C24" s="8"/>
      <c r="D24" s="82"/>
      <c r="E24" s="66" t="s">
        <v>30</v>
      </c>
      <c r="F24" s="66" t="s">
        <v>30</v>
      </c>
      <c r="G24" s="67">
        <v>13500</v>
      </c>
      <c r="H24" s="67">
        <v>13200</v>
      </c>
      <c r="I24" s="86" t="s">
        <v>38</v>
      </c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 thickBot="1">
      <c r="A25" s="8"/>
      <c r="B25" s="8"/>
      <c r="C25" s="8"/>
      <c r="D25" s="82"/>
      <c r="E25" s="66" t="s">
        <v>32</v>
      </c>
      <c r="F25" s="66" t="s">
        <v>32</v>
      </c>
      <c r="G25" s="67">
        <v>15000</v>
      </c>
      <c r="H25" s="67">
        <v>17800</v>
      </c>
      <c r="I25" s="85" t="s">
        <v>39</v>
      </c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 thickBot="1">
      <c r="A26" s="8"/>
      <c r="B26" s="8"/>
      <c r="C26" s="8"/>
      <c r="D26" s="83"/>
      <c r="E26" s="66" t="s">
        <v>34</v>
      </c>
      <c r="F26" s="66" t="s">
        <v>34</v>
      </c>
      <c r="G26" s="67">
        <v>19000</v>
      </c>
      <c r="H26" s="67">
        <v>21300</v>
      </c>
      <c r="I26" s="85" t="s">
        <v>40</v>
      </c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5" customHeight="1">
      <c r="X813" s="14"/>
      <c r="Y813" s="14"/>
      <c r="Z813" s="14"/>
    </row>
  </sheetData>
  <mergeCells count="12">
    <mergeCell ref="D19:D22"/>
    <mergeCell ref="D23:D26"/>
    <mergeCell ref="C15:D15"/>
    <mergeCell ref="C10:D10"/>
    <mergeCell ref="C11:D11"/>
    <mergeCell ref="B2:N5"/>
    <mergeCell ref="C7:D7"/>
    <mergeCell ref="C8:D8"/>
    <mergeCell ref="C9:D9"/>
    <mergeCell ref="C14:D14"/>
    <mergeCell ref="C12:D12"/>
    <mergeCell ref="C13:D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쥬얼리프룻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2026-08-10T07:57:21Z</dcterms:modified>
</cp:coreProperties>
</file>