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쥬얼리프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소싱현황 관리 (마진계산기)</t>
        </is>
      </c>
    </row>
    <row r="7">
      <c r="B7" s="2" t="inlineStr">
        <is>
          <t>NO</t>
        </is>
      </c>
      <c r="C7" s="2" t="inlineStr">
        <is>
          <t>상품명</t>
        </is>
      </c>
      <c r="E7" s="2" t="inlineStr">
        <is>
          <t>쿠팡 옵션</t>
        </is>
      </c>
      <c r="F7" s="2" t="inlineStr">
        <is>
          <t>수량</t>
        </is>
      </c>
      <c r="G7" s="2" t="inlineStr">
        <is>
          <t>판매가</t>
        </is>
      </c>
      <c r="H7" s="2" t="inlineStr">
        <is>
          <t>쿠폰가(최종구매가)</t>
        </is>
      </c>
      <c r="I7" s="2" t="inlineStr">
        <is>
          <t>공급가(vip)</t>
        </is>
      </c>
      <c r="K7" s="2" t="inlineStr">
        <is>
          <t>수수료(%)</t>
        </is>
      </c>
      <c r="L7" s="2" t="inlineStr">
        <is>
          <t>쿠팡수수료</t>
        </is>
      </c>
      <c r="M7" s="2" t="inlineStr">
        <is>
          <t>마진(원)</t>
        </is>
      </c>
      <c r="N7" s="2" t="inlineStr">
        <is>
          <t>마진율</t>
        </is>
      </c>
    </row>
    <row r="8">
      <c r="B8" t="n">
        <v>1</v>
      </c>
      <c r="C8" t="inlineStr">
        <is>
          <t>미니밤호박(보우짱)</t>
        </is>
      </c>
      <c r="E8" t="inlineStr">
        <is>
          <t>로얄과 3kg</t>
        </is>
      </c>
      <c r="F8" t="n">
        <v>1</v>
      </c>
      <c r="G8" t="n">
        <v>11700</v>
      </c>
      <c r="H8" t="n">
        <v>10700</v>
      </c>
      <c r="I8" t="n">
        <v>8400</v>
      </c>
      <c r="J8" t="n">
        <v>0</v>
      </c>
      <c r="K8" t="n">
        <v>0.1166</v>
      </c>
      <c r="L8">
        <f>ROUND(H8*K8,0)</f>
        <v/>
      </c>
      <c r="M8">
        <f>H8-I8-L8</f>
        <v/>
      </c>
      <c r="N8" s="3">
        <f>IF(H8=0,0,M8/H8)</f>
        <v/>
      </c>
    </row>
    <row r="9">
      <c r="B9" t="n">
        <v>2</v>
      </c>
      <c r="C9" t="inlineStr">
        <is>
          <t>미니밤호박(보우짱)</t>
        </is>
      </c>
      <c r="E9" t="inlineStr">
        <is>
          <t>로얄과 5kg</t>
        </is>
      </c>
      <c r="F9" t="n">
        <v>1</v>
      </c>
      <c r="G9" t="n">
        <v>16700</v>
      </c>
      <c r="H9" t="n">
        <v>15700</v>
      </c>
      <c r="I9" t="n">
        <v>11800</v>
      </c>
      <c r="J9" t="n">
        <v>0</v>
      </c>
      <c r="K9" t="n">
        <v>0.1166</v>
      </c>
      <c r="L9">
        <f>ROUND(H9*K9,0)</f>
        <v/>
      </c>
      <c r="M9">
        <f>H9-I9-L9</f>
        <v/>
      </c>
      <c r="N9" s="3">
        <f>IF(H9=0,0,M9/H9)</f>
        <v/>
      </c>
    </row>
    <row r="10">
      <c r="B10" t="n">
        <v>3</v>
      </c>
      <c r="C10" t="inlineStr">
        <is>
          <t>미니밤호박(보우짱)</t>
        </is>
      </c>
      <c r="E10" t="inlineStr">
        <is>
          <t>로얄과 10kg</t>
        </is>
      </c>
      <c r="F10" t="n">
        <v>1</v>
      </c>
      <c r="G10" t="n">
        <v>26900</v>
      </c>
      <c r="H10" t="n">
        <v>25900</v>
      </c>
      <c r="I10" t="n">
        <v>20400</v>
      </c>
      <c r="J10" t="n">
        <v>0</v>
      </c>
      <c r="K10" t="n">
        <v>0.1166</v>
      </c>
      <c r="L10">
        <f>ROUND(H10*K10,0)</f>
        <v/>
      </c>
      <c r="M10">
        <f>H10-I10-L10</f>
        <v/>
      </c>
      <c r="N10" s="3">
        <f>IF(H10=0,0,M10/H10)</f>
        <v/>
      </c>
    </row>
    <row r="11">
      <c r="N11" s="3" t="n"/>
    </row>
    <row r="12">
      <c r="N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2026-06-24T05:50:56Z</dcterms:created>
  <dcterms:modified xmlns:dcterms="http://purl.org/dc/terms/" xmlns:xsi="http://www.w3.org/2001/XMLSchema-instance" xsi:type="dcterms:W3CDTF">2026-06-26T01:39:28Z</dcterms:modified>
</cp:coreProperties>
</file>