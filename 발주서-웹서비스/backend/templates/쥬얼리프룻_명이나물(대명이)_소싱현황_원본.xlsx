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위탁 단가 변동 현황\"/>
    </mc:Choice>
  </mc:AlternateContent>
  <xr:revisionPtr revIDLastSave="0" documentId="13_ncr:1_{8837A11C-4861-4CFF-9672-14A7BF1CEBAC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쥬얼리프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N11" i="1"/>
  <c r="G11" i="1"/>
  <c r="P11" i="1" s="1"/>
  <c r="T10" i="1"/>
  <c r="N10" i="1"/>
  <c r="G10" i="1"/>
  <c r="P10" i="1" s="1"/>
  <c r="T9" i="1"/>
  <c r="N9" i="1"/>
  <c r="G9" i="1"/>
  <c r="T8" i="1"/>
  <c r="N8" i="1"/>
  <c r="G8" i="1"/>
  <c r="P9" i="1" l="1"/>
  <c r="Q9" i="1" s="1"/>
  <c r="Q11" i="1"/>
  <c r="R11" i="1" s="1"/>
  <c r="S11" i="1" s="1"/>
  <c r="U11" i="1" s="1"/>
  <c r="V11" i="1" s="1"/>
  <c r="Q10" i="1"/>
  <c r="R10" i="1" s="1"/>
  <c r="S10" i="1" s="1"/>
  <c r="U10" i="1" s="1"/>
  <c r="V10" i="1" s="1"/>
  <c r="P8" i="1"/>
  <c r="R9" i="1" l="1"/>
  <c r="S9" i="1" s="1"/>
  <c r="U9" i="1" s="1"/>
  <c r="V9" i="1" s="1"/>
  <c r="Q8" i="1"/>
  <c r="R8" i="1" l="1"/>
  <c r="S8" i="1" s="1"/>
  <c r="U8" i="1" s="1"/>
  <c r="V8" i="1" s="1"/>
</calcChain>
</file>

<file path=xl/sharedStrings.xml><?xml version="1.0" encoding="utf-8"?>
<sst xmlns="http://schemas.openxmlformats.org/spreadsheetml/2006/main" count="42" uniqueCount="39">
  <si>
    <t>소싱현황 관리</t>
  </si>
  <si>
    <t>NO</t>
  </si>
  <si>
    <t>상품명</t>
  </si>
  <si>
    <t xml:space="preserve">옵션 </t>
  </si>
  <si>
    <t>수량</t>
  </si>
  <si>
    <t>판매가</t>
  </si>
  <si>
    <t>쿠폰가</t>
  </si>
  <si>
    <t>공급가(vip)</t>
  </si>
  <si>
    <t>원가 (위안)</t>
  </si>
  <si>
    <t>수수료(%)</t>
  </si>
  <si>
    <t>물류비</t>
  </si>
  <si>
    <t>포장/부자재</t>
  </si>
  <si>
    <t>마케팅</t>
  </si>
  <si>
    <t>수수료</t>
  </si>
  <si>
    <t>부가세</t>
  </si>
  <si>
    <t>1차 합계</t>
  </si>
  <si>
    <t>소득세</t>
  </si>
  <si>
    <t>기타</t>
  </si>
  <si>
    <t>마진</t>
  </si>
  <si>
    <t>마진율</t>
  </si>
  <si>
    <t>공급처URL</t>
  </si>
  <si>
    <t>공급처URL2</t>
  </si>
  <si>
    <t>경쟁사</t>
  </si>
  <si>
    <t>제이비티</t>
  </si>
  <si>
    <t>역마진(3천원할인쿠폰)</t>
  </si>
  <si>
    <t>이것만라이브18700에코엔팜(2s-s)</t>
  </si>
  <si>
    <t>라이브가 38800(4천원쿠폰할인)</t>
  </si>
  <si>
    <t>덤덤몰 19000(3천원할인쿠폰)</t>
  </si>
  <si>
    <t>https://dumdummall.adminplus.co.kr/partner/?mod=product&amp;actpage=prt.list</t>
  </si>
  <si>
    <t>이거는 제이비루 라이브</t>
  </si>
  <si>
    <t>덤덤몰 9000(3천원할인쿠폰)</t>
  </si>
  <si>
    <t>출고기간 꼭 2~3일로 넉넉히 잡아주셔야 합니다</t>
  </si>
  <si>
    <t>쿠폰가 500원 다운쿠폰 할인 한 가격으로 설정함</t>
  </si>
  <si>
    <t>명이나물</t>
    <phoneticPr fontId="1" type="noConversion"/>
  </si>
  <si>
    <t>명이나물(대명이) 3kg</t>
    <phoneticPr fontId="1" type="noConversion"/>
  </si>
  <si>
    <t>명이나물(대명이) 2kg</t>
    <phoneticPr fontId="1" type="noConversion"/>
  </si>
  <si>
    <t>명이나물(대명이) 1kg</t>
    <phoneticPr fontId="1" type="noConversion"/>
  </si>
  <si>
    <t>명이나물(대명이) 500g</t>
    <phoneticPr fontId="1" type="noConversion"/>
  </si>
  <si>
    <t>발주마감시간 : 오전9시50분까지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</si>
</sst>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"/>
    <numFmt numFmtId="177" formatCode="0.0%"/>
    <numFmt numFmtId="178" formatCode="0.00_);[Red]\(0.00\)"/>
    <numFmt numFmtId="180" formatCode="[$-804]\kg"/>
    <numFmt numFmtId="181" formatCode="_ * #,##0.00_ ;_ * \-#,##0.00_ ;_ * &quot;-&quot;??_ ;_ @_ "/>
  </numFmts>
  <fonts count="19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b/>
      <sz val="12"/>
      <color theme="1"/>
      <name val="Arial"/>
      <family val="2"/>
    </font>
    <font>
      <b/>
      <sz val="12"/>
      <color theme="1"/>
      <name val="LG Smart UI SemiBold"/>
      <family val="3"/>
      <charset val="129"/>
    </font>
    <font>
      <u/>
      <sz val="5"/>
      <color theme="10"/>
      <name val="맑은 고딕"/>
      <family val="2"/>
      <charset val="129"/>
    </font>
    <font>
      <sz val="9"/>
      <color rgb="FF666666"/>
      <name val="Noto Sans KR"/>
      <family val="3"/>
      <charset val="129"/>
    </font>
    <font>
      <u/>
      <sz val="8"/>
      <color theme="10"/>
      <name val="Calibri"/>
      <family val="2"/>
      <charset val="129"/>
      <scheme val="minor"/>
    </font>
    <font>
      <b/>
      <sz val="12"/>
      <color rgb="FF0F172A"/>
      <name val="LG Smart UI SemiBold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8FAFC"/>
        <bgColor rgb="FFF8FAFC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7"/>
    <xf numFmtId="0" fontId="2" fillId="0" borderId="7"/>
    <xf numFmtId="180" fontId="6" fillId="0" borderId="7">
      <alignment vertical="center"/>
    </xf>
    <xf numFmtId="181" fontId="6" fillId="0" borderId="7">
      <alignment vertical="center"/>
    </xf>
  </cellStyleXfs>
  <cellXfs count="83"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2" borderId="7" xfId="0" applyFont="1" applyFill="1" applyAlignment="1">
      <alignment horizontal="center" vertical="center"/>
    </xf>
    <xf numFmtId="0" fontId="4" fillId="0" borderId="7" xfId="0" applyFont="1" applyAlignment="1">
      <alignment horizontal="center" vertical="center"/>
    </xf>
    <xf numFmtId="176" fontId="3" fillId="0" borderId="7" xfId="0" applyNumberFormat="1" applyFont="1" applyAlignment="1">
      <alignment horizontal="center" vertical="center"/>
    </xf>
    <xf numFmtId="1" fontId="3" fillId="0" borderId="7" xfId="0" applyNumberFormat="1" applyFont="1" applyAlignment="1">
      <alignment horizontal="center" vertical="center"/>
    </xf>
    <xf numFmtId="176" fontId="3" fillId="2" borderId="7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7" xfId="0" applyFont="1" applyFill="1" applyAlignment="1">
      <alignment horizontal="center" vertical="center"/>
    </xf>
    <xf numFmtId="0" fontId="5" fillId="0" borderId="7" xfId="0" applyFont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78" fontId="3" fillId="0" borderId="7" xfId="0" applyNumberFormat="1" applyFont="1" applyAlignment="1">
      <alignment horizontal="center" vertical="center"/>
    </xf>
    <xf numFmtId="178" fontId="3" fillId="2" borderId="7" xfId="0" applyNumberFormat="1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0" fontId="10" fillId="2" borderId="7" xfId="0" applyFont="1" applyFill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0" borderId="7" xfId="0" applyFont="1" applyAlignment="1">
      <alignment horizontal="center" vertical="center"/>
    </xf>
    <xf numFmtId="0" fontId="11" fillId="2" borderId="9" xfId="0" applyFont="1" applyFill="1" applyBorder="1" applyAlignment="1">
      <alignment horizontal="center" vertical="center" shrinkToFit="1"/>
    </xf>
    <xf numFmtId="177" fontId="9" fillId="2" borderId="7" xfId="0" applyNumberFormat="1" applyFont="1" applyFill="1" applyAlignment="1">
      <alignment horizontal="center" vertical="center"/>
    </xf>
    <xf numFmtId="0" fontId="3" fillId="0" borderId="7" xfId="0" applyFont="1" applyAlignment="1">
      <alignment horizontal="center" vertical="center"/>
    </xf>
    <xf numFmtId="0" fontId="12" fillId="0" borderId="7" xfId="0" applyFont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7" fillId="0" borderId="7" xfId="0" applyFont="1" applyAlignment="1">
      <alignment horizontal="center" vertical="center"/>
    </xf>
    <xf numFmtId="176" fontId="8" fillId="2" borderId="7" xfId="0" applyNumberFormat="1" applyFont="1" applyFill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76" fontId="7" fillId="8" borderId="9" xfId="0" applyNumberFormat="1" applyFont="1" applyFill="1" applyBorder="1" applyAlignment="1">
      <alignment horizontal="center" vertical="center"/>
    </xf>
    <xf numFmtId="176" fontId="7" fillId="9" borderId="9" xfId="0" applyNumberFormat="1" applyFont="1" applyFill="1" applyBorder="1" applyAlignment="1">
      <alignment horizontal="center" vertical="center"/>
    </xf>
    <xf numFmtId="178" fontId="7" fillId="8" borderId="9" xfId="0" applyNumberFormat="1" applyFont="1" applyFill="1" applyBorder="1" applyAlignment="1">
      <alignment horizontal="center" vertical="center"/>
    </xf>
    <xf numFmtId="1" fontId="7" fillId="8" borderId="9" xfId="0" applyNumberFormat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3" fontId="13" fillId="0" borderId="0" xfId="0" applyNumberFormat="1" applyFont="1" applyBorder="1" applyAlignment="1">
      <alignment vertical="center"/>
    </xf>
    <xf numFmtId="176" fontId="14" fillId="2" borderId="2" xfId="0" applyNumberFormat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5" fillId="11" borderId="9" xfId="1" applyFont="1" applyFill="1" applyBorder="1" applyAlignment="1">
      <alignment horizontal="center" vertical="center"/>
    </xf>
    <xf numFmtId="0" fontId="5" fillId="12" borderId="7" xfId="0" applyFont="1" applyFill="1" applyAlignment="1">
      <alignment horizontal="center" vertical="center"/>
    </xf>
    <xf numFmtId="0" fontId="17" fillId="2" borderId="9" xfId="1" applyFont="1" applyFill="1" applyBorder="1" applyAlignment="1">
      <alignment horizontal="center" vertical="center"/>
    </xf>
    <xf numFmtId="3" fontId="18" fillId="13" borderId="2" xfId="0" applyNumberFormat="1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8" borderId="9" xfId="0" applyFont="1" applyFill="1" applyBorder="1" applyAlignment="1">
      <alignment horizontal="center" vertical="center"/>
    </xf>
    <xf numFmtId="0" fontId="0" fillId="0" borderId="19" xfId="0" applyBorder="1"/>
    <xf numFmtId="178" fontId="9" fillId="10" borderId="2" xfId="0" applyNumberFormat="1" applyFont="1" applyFill="1" applyBorder="1" applyAlignment="1">
      <alignment horizontal="center" vertical="center"/>
    </xf>
    <xf numFmtId="177" fontId="9" fillId="10" borderId="2" xfId="0" applyNumberFormat="1" applyFont="1" applyFill="1" applyBorder="1" applyAlignment="1">
      <alignment horizontal="center" vertical="center"/>
    </xf>
    <xf numFmtId="1" fontId="9" fillId="10" borderId="2" xfId="0" applyNumberFormat="1" applyFont="1" applyFill="1" applyBorder="1" applyAlignment="1">
      <alignment horizontal="center" vertical="center"/>
    </xf>
    <xf numFmtId="176" fontId="9" fillId="10" borderId="8" xfId="0" applyNumberFormat="1" applyFont="1" applyFill="1" applyBorder="1" applyAlignment="1">
      <alignment horizontal="center" vertical="center"/>
    </xf>
    <xf numFmtId="176" fontId="9" fillId="10" borderId="5" xfId="0" applyNumberFormat="1" applyFont="1" applyFill="1" applyBorder="1" applyAlignment="1">
      <alignment horizontal="center" vertical="center"/>
    </xf>
    <xf numFmtId="176" fontId="9" fillId="10" borderId="6" xfId="0" applyNumberFormat="1" applyFont="1" applyFill="1" applyBorder="1" applyAlignment="1">
      <alignment horizontal="center" vertical="center"/>
    </xf>
    <xf numFmtId="177" fontId="9" fillId="10" borderId="9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4">
    <cellStyle name="常规 68 2 2" xfId="2" xr:uid="{00000000-0005-0000-0000-000002000000}"/>
    <cellStyle name="千位分隔 2 2" xfId="3" xr:uid="{00000000-0005-0000-0000-000003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2"/>
  <sheetViews>
    <sheetView showGridLines="0" tabSelected="1" topLeftCell="A6" zoomScale="130" zoomScaleNormal="130" workbookViewId="0">
      <selection activeCell="N9" sqref="N9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24.570312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6.42578125" style="1" customWidth="1"/>
    <col min="17" max="17" width="1.85546875" style="1" customWidth="1"/>
    <col min="18" max="19" width="5.28515625" style="1" customWidth="1"/>
    <col min="20" max="20" width="5.140625" style="1" customWidth="1"/>
    <col min="21" max="21" width="9.7109375" style="1" bestFit="1" customWidth="1"/>
    <col min="22" max="22" width="8.42578125" style="37" bestFit="1" customWidth="1"/>
    <col min="23" max="23" width="1.28515625" style="37" customWidth="1"/>
    <col min="24" max="24" width="15.28515625" style="15" customWidth="1"/>
    <col min="25" max="25" width="15" style="13" customWidth="1"/>
    <col min="26" max="26" width="15.42578125" style="13" customWidth="1"/>
    <col min="27" max="27" width="14.42578125" style="1" customWidth="1"/>
    <col min="28" max="16384" width="14.42578125" style="1"/>
  </cols>
  <sheetData>
    <row r="1" spans="1:27" ht="15" customHeight="1" thickBot="1"/>
    <row r="2" spans="1:27" ht="38.25" customHeight="1"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7" ht="17.25" customHeight="1">
      <c r="B3" s="63"/>
      <c r="C3" s="64"/>
      <c r="D3" s="64"/>
      <c r="E3" s="64"/>
      <c r="F3" s="64"/>
      <c r="G3" s="64"/>
      <c r="H3" s="64"/>
      <c r="I3" s="64"/>
      <c r="J3" s="65"/>
      <c r="K3" s="64"/>
      <c r="L3" s="66"/>
      <c r="M3" s="66"/>
      <c r="N3" s="67"/>
      <c r="O3" s="38"/>
      <c r="P3" s="38"/>
      <c r="Q3" s="38"/>
      <c r="R3" s="38"/>
      <c r="S3" s="38"/>
      <c r="V3" s="38"/>
      <c r="W3" s="38"/>
      <c r="X3" s="38"/>
      <c r="Y3" s="38"/>
      <c r="Z3" s="38"/>
    </row>
    <row r="4" spans="1:27" ht="15" customHeight="1">
      <c r="B4" s="63"/>
      <c r="C4" s="64"/>
      <c r="D4" s="64"/>
      <c r="E4" s="64"/>
      <c r="F4" s="64"/>
      <c r="G4" s="64"/>
      <c r="H4" s="64"/>
      <c r="I4" s="64"/>
      <c r="J4" s="65"/>
      <c r="K4" s="64"/>
      <c r="L4" s="66"/>
      <c r="M4" s="66"/>
      <c r="N4" s="67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7" ht="15" customHeight="1" thickBot="1">
      <c r="B5" s="68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70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7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7" ht="18" customHeight="1">
      <c r="A7" s="21"/>
      <c r="B7" s="45" t="s">
        <v>1</v>
      </c>
      <c r="C7" s="71" t="s">
        <v>2</v>
      </c>
      <c r="D7" s="72"/>
      <c r="E7" s="46" t="s">
        <v>3</v>
      </c>
      <c r="F7" s="46" t="s">
        <v>4</v>
      </c>
      <c r="G7" s="47" t="s">
        <v>5</v>
      </c>
      <c r="H7" s="47" t="s">
        <v>6</v>
      </c>
      <c r="I7" s="48" t="s">
        <v>7</v>
      </c>
      <c r="J7" s="49" t="s">
        <v>8</v>
      </c>
      <c r="K7" s="45" t="s">
        <v>9</v>
      </c>
      <c r="L7" s="50" t="s">
        <v>10</v>
      </c>
      <c r="M7" s="50" t="s">
        <v>11</v>
      </c>
      <c r="N7" s="48" t="s">
        <v>12</v>
      </c>
      <c r="O7" s="44"/>
      <c r="P7" s="19" t="s">
        <v>13</v>
      </c>
      <c r="Q7" s="19" t="s">
        <v>14</v>
      </c>
      <c r="R7" s="20" t="s">
        <v>15</v>
      </c>
      <c r="S7" s="19" t="s">
        <v>16</v>
      </c>
      <c r="T7" s="19" t="s">
        <v>17</v>
      </c>
      <c r="U7" s="39" t="s">
        <v>18</v>
      </c>
      <c r="V7" s="41" t="s">
        <v>19</v>
      </c>
      <c r="W7" s="43"/>
      <c r="X7" s="22" t="s">
        <v>20</v>
      </c>
      <c r="Y7" s="22" t="s">
        <v>21</v>
      </c>
      <c r="Z7" s="22" t="s">
        <v>22</v>
      </c>
    </row>
    <row r="8" spans="1:27" ht="18" customHeight="1">
      <c r="A8" s="27"/>
      <c r="B8" s="23">
        <v>1</v>
      </c>
      <c r="C8" s="81" t="s">
        <v>33</v>
      </c>
      <c r="D8" s="82"/>
      <c r="E8" s="33" t="s">
        <v>34</v>
      </c>
      <c r="F8" s="33">
        <v>1</v>
      </c>
      <c r="G8" s="24">
        <f t="shared" ref="G8:G11" si="0">H8+500</f>
        <v>44300</v>
      </c>
      <c r="H8" s="24">
        <v>43800</v>
      </c>
      <c r="I8" s="52">
        <v>26500</v>
      </c>
      <c r="J8" s="28">
        <v>0</v>
      </c>
      <c r="K8" s="29">
        <v>0.11700000000000001</v>
      </c>
      <c r="L8" s="30">
        <v>0</v>
      </c>
      <c r="M8" s="30">
        <v>0</v>
      </c>
      <c r="N8" s="26">
        <f t="shared" ref="N8:N11" si="1">H8*5%</f>
        <v>2190</v>
      </c>
      <c r="O8" s="25"/>
      <c r="P8" s="31">
        <f t="shared" ref="P8:P11" si="2">(G8*K8)+(H8*3.63%)</f>
        <v>6773.0400000000009</v>
      </c>
      <c r="Q8" s="31">
        <f t="shared" ref="Q8:Q11" si="3">((G8+H8)-(I8+L8+M8+N8+P8))*0%</f>
        <v>0</v>
      </c>
      <c r="R8" s="31">
        <f t="shared" ref="R8:R11" si="4">H8-I8-L8-M8-N8-P8-Q8</f>
        <v>8336.9599999999991</v>
      </c>
      <c r="S8" s="31">
        <f t="shared" ref="S8:S11" si="5">R8*16%</f>
        <v>1333.9135999999999</v>
      </c>
      <c r="T8" s="32">
        <f t="shared" ref="T8:T11" si="6">H8*3%</f>
        <v>1314</v>
      </c>
      <c r="U8" s="40">
        <f t="shared" ref="U8:U11" si="7">H8-I8-L8-M8-N8-P8-Q8-S8-T8</f>
        <v>5689.0463999999993</v>
      </c>
      <c r="V8" s="42">
        <f t="shared" ref="V8:V11" si="8">IF(U8=0,"",U8/G8)</f>
        <v>0.12842091196388261</v>
      </c>
      <c r="W8" s="36"/>
      <c r="X8" s="56" t="s">
        <v>23</v>
      </c>
      <c r="Y8" s="58" t="s">
        <v>24</v>
      </c>
      <c r="Z8" s="35"/>
    </row>
    <row r="9" spans="1:27" ht="18" customHeight="1">
      <c r="A9" s="27"/>
      <c r="B9" s="23">
        <v>2</v>
      </c>
      <c r="C9" s="81" t="s">
        <v>33</v>
      </c>
      <c r="D9" s="82"/>
      <c r="E9" s="33" t="s">
        <v>35</v>
      </c>
      <c r="F9" s="33">
        <v>1</v>
      </c>
      <c r="G9" s="24">
        <f t="shared" si="0"/>
        <v>32000</v>
      </c>
      <c r="H9" s="24">
        <v>31500</v>
      </c>
      <c r="I9" s="53">
        <v>18500</v>
      </c>
      <c r="J9" s="28">
        <v>0</v>
      </c>
      <c r="K9" s="29">
        <v>0.11700000000000001</v>
      </c>
      <c r="L9" s="30">
        <v>0</v>
      </c>
      <c r="M9" s="30">
        <v>0</v>
      </c>
      <c r="N9" s="26">
        <f t="shared" si="1"/>
        <v>1575</v>
      </c>
      <c r="O9" s="25"/>
      <c r="P9" s="31">
        <f t="shared" si="2"/>
        <v>4887.45</v>
      </c>
      <c r="Q9" s="31">
        <f t="shared" si="3"/>
        <v>0</v>
      </c>
      <c r="R9" s="31">
        <f t="shared" si="4"/>
        <v>6537.55</v>
      </c>
      <c r="S9" s="31">
        <f t="shared" si="5"/>
        <v>1046.008</v>
      </c>
      <c r="T9" s="32">
        <f t="shared" si="6"/>
        <v>945</v>
      </c>
      <c r="U9" s="40">
        <f t="shared" si="7"/>
        <v>4546.5420000000004</v>
      </c>
      <c r="V9" s="42">
        <f t="shared" si="8"/>
        <v>0.14207943750000002</v>
      </c>
      <c r="W9" s="36"/>
      <c r="X9" s="57" t="s">
        <v>25</v>
      </c>
      <c r="Y9" s="13" t="s">
        <v>26</v>
      </c>
      <c r="Z9" s="54" t="s">
        <v>27</v>
      </c>
      <c r="AA9" s="51" t="s">
        <v>28</v>
      </c>
    </row>
    <row r="10" spans="1:27" s="80" customFormat="1" ht="18" customHeight="1">
      <c r="A10" s="27"/>
      <c r="B10" s="23">
        <v>3</v>
      </c>
      <c r="C10" s="81" t="s">
        <v>33</v>
      </c>
      <c r="D10" s="82"/>
      <c r="E10" s="33" t="s">
        <v>36</v>
      </c>
      <c r="F10" s="33">
        <v>1</v>
      </c>
      <c r="G10" s="24">
        <f t="shared" si="0"/>
        <v>17500</v>
      </c>
      <c r="H10" s="24">
        <v>17000</v>
      </c>
      <c r="I10" s="53">
        <v>11000</v>
      </c>
      <c r="J10" s="73">
        <v>0</v>
      </c>
      <c r="K10" s="74">
        <v>0.11700000000000001</v>
      </c>
      <c r="L10" s="75">
        <v>0</v>
      </c>
      <c r="M10" s="75">
        <v>0</v>
      </c>
      <c r="N10" s="26">
        <f t="shared" si="1"/>
        <v>850</v>
      </c>
      <c r="O10" s="25"/>
      <c r="P10" s="76">
        <f t="shared" si="2"/>
        <v>2664.6000000000004</v>
      </c>
      <c r="Q10" s="76">
        <f t="shared" si="3"/>
        <v>0</v>
      </c>
      <c r="R10" s="76">
        <f t="shared" si="4"/>
        <v>2485.3999999999996</v>
      </c>
      <c r="S10" s="76">
        <f t="shared" si="5"/>
        <v>397.66399999999993</v>
      </c>
      <c r="T10" s="77">
        <f t="shared" si="6"/>
        <v>510</v>
      </c>
      <c r="U10" s="78">
        <f t="shared" si="7"/>
        <v>1577.7359999999999</v>
      </c>
      <c r="V10" s="79">
        <f t="shared" si="8"/>
        <v>9.0156342857142843E-2</v>
      </c>
      <c r="W10" s="36"/>
      <c r="X10" s="54" t="s">
        <v>29</v>
      </c>
      <c r="Y10" s="51"/>
      <c r="Z10" s="35"/>
    </row>
    <row r="11" spans="1:27" ht="18" customHeight="1">
      <c r="A11" s="27"/>
      <c r="B11" s="23">
        <v>4</v>
      </c>
      <c r="C11" s="81" t="s">
        <v>33</v>
      </c>
      <c r="D11" s="82"/>
      <c r="E11" s="33" t="s">
        <v>37</v>
      </c>
      <c r="F11" s="33">
        <v>1</v>
      </c>
      <c r="G11" s="24">
        <f t="shared" si="0"/>
        <v>10300</v>
      </c>
      <c r="H11" s="24">
        <v>9800</v>
      </c>
      <c r="I11" s="59">
        <v>6250</v>
      </c>
      <c r="J11" s="28">
        <v>0</v>
      </c>
      <c r="K11" s="29">
        <v>0.11700000000000001</v>
      </c>
      <c r="L11" s="30">
        <v>0</v>
      </c>
      <c r="M11" s="30">
        <v>0</v>
      </c>
      <c r="N11" s="26">
        <f t="shared" si="1"/>
        <v>490</v>
      </c>
      <c r="O11" s="25"/>
      <c r="P11" s="31">
        <f t="shared" si="2"/>
        <v>1560.8400000000001</v>
      </c>
      <c r="Q11" s="31">
        <f t="shared" si="3"/>
        <v>0</v>
      </c>
      <c r="R11" s="31">
        <f t="shared" si="4"/>
        <v>1499.1599999999999</v>
      </c>
      <c r="S11" s="31">
        <f t="shared" si="5"/>
        <v>239.86559999999997</v>
      </c>
      <c r="T11" s="32">
        <f t="shared" si="6"/>
        <v>294</v>
      </c>
      <c r="U11" s="40">
        <f t="shared" si="7"/>
        <v>965.29439999999977</v>
      </c>
      <c r="V11" s="42">
        <f t="shared" si="8"/>
        <v>9.3717902912621331E-2</v>
      </c>
      <c r="W11" s="36"/>
      <c r="X11" s="54" t="s">
        <v>30</v>
      </c>
      <c r="Y11" s="55" t="s">
        <v>31</v>
      </c>
      <c r="Z11" s="35"/>
    </row>
    <row r="12" spans="1:27" ht="18" customHeight="1">
      <c r="A12" s="8"/>
      <c r="B12" s="8"/>
      <c r="D12" s="3" t="s">
        <v>38</v>
      </c>
      <c r="E12" s="3"/>
      <c r="F12" s="3" t="s">
        <v>32</v>
      </c>
      <c r="G12" s="9"/>
      <c r="H12" s="9"/>
      <c r="I12" s="9"/>
      <c r="J12" s="18"/>
      <c r="K12" s="10"/>
      <c r="L12" s="11"/>
      <c r="M12" s="11"/>
      <c r="N12" s="9"/>
      <c r="O12" s="9"/>
      <c r="P12" s="9"/>
      <c r="Q12" s="9"/>
      <c r="R12" s="9"/>
      <c r="S12" s="9"/>
      <c r="T12" s="9"/>
      <c r="U12" s="9"/>
      <c r="V12" s="12"/>
      <c r="W12" s="12"/>
      <c r="X12" s="14"/>
      <c r="Y12" s="14"/>
      <c r="Z12" s="14"/>
    </row>
    <row r="13" spans="1:27" ht="18.75" customHeight="1">
      <c r="A13" s="8"/>
      <c r="B13" s="8"/>
      <c r="C13" s="8"/>
      <c r="D13" s="8"/>
      <c r="E13" s="3"/>
      <c r="F13" s="3"/>
      <c r="G13" s="9"/>
      <c r="H13" s="9"/>
      <c r="I13" s="9"/>
      <c r="J13" s="18"/>
      <c r="K13" s="8"/>
      <c r="L13" s="11"/>
      <c r="M13" s="11"/>
      <c r="N13" s="9"/>
      <c r="O13" s="9"/>
      <c r="P13" s="8"/>
      <c r="Q13" s="8"/>
      <c r="R13" s="8"/>
      <c r="S13" s="8"/>
      <c r="T13" s="8"/>
      <c r="U13" s="8"/>
      <c r="V13" s="3"/>
      <c r="W13" s="3"/>
      <c r="X13" s="14"/>
      <c r="Y13" s="14"/>
      <c r="Z13" s="14"/>
    </row>
    <row r="14" spans="1:27" ht="18.75" customHeight="1">
      <c r="A14" s="8"/>
      <c r="B14" s="8"/>
      <c r="C14" s="8"/>
      <c r="D14" s="8"/>
      <c r="E14" s="3"/>
      <c r="F14" s="3"/>
      <c r="G14" s="9"/>
      <c r="H14" s="9"/>
      <c r="V14" s="3"/>
      <c r="W14" s="3"/>
      <c r="X14" s="14"/>
      <c r="Y14" s="14"/>
      <c r="Z14" s="14"/>
    </row>
    <row r="15" spans="1:27" ht="18.75" customHeight="1">
      <c r="A15" s="8"/>
      <c r="B15" s="8"/>
      <c r="C15" s="8"/>
      <c r="D15" s="8"/>
      <c r="E15" s="3"/>
      <c r="F15" s="3"/>
      <c r="G15" s="9"/>
      <c r="H15" s="9"/>
      <c r="I15" s="9"/>
      <c r="K15" s="8"/>
      <c r="L15" s="11"/>
      <c r="M15" s="11"/>
      <c r="N15" s="9"/>
      <c r="O15" s="9"/>
      <c r="P15" s="8"/>
      <c r="Q15" s="8"/>
      <c r="R15" s="8"/>
      <c r="S15" s="8"/>
      <c r="T15" s="8"/>
      <c r="U15" s="8"/>
      <c r="V15" s="3"/>
      <c r="W15" s="3"/>
      <c r="X15" s="14"/>
      <c r="Y15" s="14"/>
      <c r="Z15" s="14"/>
    </row>
    <row r="16" spans="1:27" ht="18.75" customHeight="1">
      <c r="A16" s="8"/>
      <c r="B16" s="8"/>
      <c r="C16" s="8"/>
      <c r="D16" s="8"/>
      <c r="E16" s="3"/>
      <c r="F16" s="3"/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8"/>
      <c r="C17" s="8"/>
      <c r="D17" s="8"/>
      <c r="E17" s="3"/>
      <c r="F17" s="3"/>
      <c r="G17" s="9"/>
      <c r="H17" s="9"/>
      <c r="I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8.75" customHeight="1">
      <c r="A926" s="8"/>
      <c r="B926" s="8"/>
      <c r="C926" s="8"/>
      <c r="D926" s="8"/>
      <c r="E926" s="3"/>
      <c r="F926" s="3"/>
      <c r="G926" s="9"/>
      <c r="H926" s="9"/>
      <c r="I926" s="9"/>
      <c r="J926" s="18"/>
      <c r="K926" s="8"/>
      <c r="L926" s="11"/>
      <c r="M926" s="11"/>
      <c r="N926" s="9"/>
      <c r="O926" s="9"/>
      <c r="P926" s="8"/>
      <c r="Q926" s="8"/>
      <c r="R926" s="8"/>
      <c r="S926" s="8"/>
      <c r="T926" s="8"/>
      <c r="U926" s="8"/>
      <c r="V926" s="3"/>
      <c r="W926" s="3"/>
      <c r="X926" s="14"/>
      <c r="Y926" s="14"/>
      <c r="Z926" s="14"/>
    </row>
    <row r="927" spans="1:26" ht="18.75" customHeight="1">
      <c r="A927" s="8"/>
      <c r="B927" s="8"/>
      <c r="C927" s="8"/>
      <c r="D927" s="8"/>
      <c r="E927" s="3"/>
      <c r="F927" s="3"/>
      <c r="G927" s="9"/>
      <c r="H927" s="9"/>
      <c r="I927" s="9"/>
      <c r="J927" s="18"/>
      <c r="K927" s="8"/>
      <c r="L927" s="11"/>
      <c r="M927" s="11"/>
      <c r="N927" s="9"/>
      <c r="O927" s="9"/>
      <c r="P927" s="8"/>
      <c r="Q927" s="8"/>
      <c r="R927" s="8"/>
      <c r="S927" s="8"/>
      <c r="T927" s="8"/>
      <c r="U927" s="8"/>
      <c r="V927" s="3"/>
      <c r="W927" s="3"/>
      <c r="X927" s="14"/>
      <c r="Y927" s="14"/>
      <c r="Z927" s="14"/>
    </row>
    <row r="928" spans="1:26" ht="18.75" customHeight="1">
      <c r="A928" s="8"/>
      <c r="B928" s="8"/>
      <c r="C928" s="8"/>
      <c r="D928" s="8"/>
      <c r="E928" s="3"/>
      <c r="F928" s="3"/>
      <c r="G928" s="9"/>
      <c r="H928" s="9"/>
      <c r="I928" s="9"/>
      <c r="J928" s="18"/>
      <c r="K928" s="8"/>
      <c r="L928" s="11"/>
      <c r="M928" s="11"/>
      <c r="N928" s="9"/>
      <c r="O928" s="9"/>
      <c r="P928" s="8"/>
      <c r="Q928" s="8"/>
      <c r="R928" s="8"/>
      <c r="S928" s="8"/>
      <c r="T928" s="8"/>
      <c r="U928" s="8"/>
      <c r="V928" s="3"/>
      <c r="W928" s="3"/>
      <c r="X928" s="14"/>
      <c r="Y928" s="14"/>
      <c r="Z928" s="14"/>
    </row>
    <row r="929" spans="1:26" ht="18.75" customHeight="1">
      <c r="A929" s="8"/>
      <c r="B929" s="8"/>
      <c r="C929" s="8"/>
      <c r="D929" s="8"/>
      <c r="E929" s="3"/>
      <c r="F929" s="3"/>
      <c r="G929" s="9"/>
      <c r="H929" s="9"/>
      <c r="I929" s="9"/>
      <c r="J929" s="18"/>
      <c r="K929" s="8"/>
      <c r="L929" s="11"/>
      <c r="M929" s="11"/>
      <c r="N929" s="9"/>
      <c r="O929" s="9"/>
      <c r="P929" s="8"/>
      <c r="Q929" s="8"/>
      <c r="R929" s="8"/>
      <c r="S929" s="8"/>
      <c r="T929" s="8"/>
      <c r="U929" s="8"/>
      <c r="V929" s="3"/>
      <c r="W929" s="3"/>
      <c r="X929" s="14"/>
      <c r="Y929" s="14"/>
      <c r="Z929" s="14"/>
    </row>
    <row r="930" spans="1:26" ht="18.75" customHeight="1">
      <c r="A930" s="8"/>
      <c r="B930" s="8"/>
      <c r="C930" s="8"/>
      <c r="D930" s="8"/>
      <c r="E930" s="3"/>
      <c r="F930" s="3"/>
      <c r="G930" s="9"/>
      <c r="H930" s="9"/>
      <c r="I930" s="9"/>
      <c r="J930" s="18"/>
      <c r="K930" s="8"/>
      <c r="L930" s="11"/>
      <c r="M930" s="11"/>
      <c r="N930" s="9"/>
      <c r="O930" s="9"/>
      <c r="P930" s="8"/>
      <c r="Q930" s="8"/>
      <c r="R930" s="8"/>
      <c r="S930" s="8"/>
      <c r="T930" s="8"/>
      <c r="U930" s="8"/>
      <c r="V930" s="3"/>
      <c r="W930" s="3"/>
      <c r="X930" s="14"/>
      <c r="Y930" s="14"/>
      <c r="Z930" s="14"/>
    </row>
    <row r="931" spans="1:26" ht="18.75" customHeight="1">
      <c r="A931" s="8"/>
      <c r="B931" s="8"/>
      <c r="C931" s="8"/>
      <c r="D931" s="8"/>
      <c r="E931" s="3"/>
      <c r="F931" s="3"/>
      <c r="G931" s="9"/>
      <c r="H931" s="9"/>
      <c r="I931" s="9"/>
      <c r="J931" s="18"/>
      <c r="K931" s="8"/>
      <c r="L931" s="11"/>
      <c r="M931" s="11"/>
      <c r="N931" s="9"/>
      <c r="O931" s="9"/>
      <c r="P931" s="8"/>
      <c r="Q931" s="8"/>
      <c r="R931" s="8"/>
      <c r="S931" s="8"/>
      <c r="T931" s="8"/>
      <c r="U931" s="8"/>
      <c r="V931" s="3"/>
      <c r="W931" s="3"/>
      <c r="X931" s="14"/>
      <c r="Y931" s="14"/>
      <c r="Z931" s="14"/>
    </row>
    <row r="932" spans="1:26" ht="18.75" customHeight="1">
      <c r="A932" s="8"/>
      <c r="B932" s="8"/>
      <c r="C932" s="8"/>
      <c r="D932" s="8"/>
      <c r="E932" s="3"/>
      <c r="F932" s="3"/>
      <c r="G932" s="9"/>
      <c r="H932" s="9"/>
      <c r="I932" s="9"/>
      <c r="J932" s="18"/>
      <c r="K932" s="8"/>
      <c r="L932" s="11"/>
      <c r="M932" s="11"/>
      <c r="N932" s="9"/>
      <c r="O932" s="9"/>
      <c r="P932" s="8"/>
      <c r="Q932" s="8"/>
      <c r="R932" s="8"/>
      <c r="S932" s="8"/>
      <c r="T932" s="8"/>
      <c r="U932" s="8"/>
      <c r="V932" s="3"/>
      <c r="W932" s="3"/>
      <c r="X932" s="14"/>
      <c r="Y932" s="14"/>
      <c r="Z932" s="14"/>
    </row>
    <row r="933" spans="1:26" ht="18.75" customHeight="1">
      <c r="A933" s="8"/>
      <c r="B933" s="8"/>
      <c r="C933" s="8"/>
      <c r="D933" s="8"/>
      <c r="E933" s="3"/>
      <c r="F933" s="3"/>
      <c r="G933" s="9"/>
      <c r="H933" s="9"/>
      <c r="I933" s="9"/>
      <c r="J933" s="18"/>
      <c r="K933" s="8"/>
      <c r="L933" s="11"/>
      <c r="M933" s="11"/>
      <c r="N933" s="9"/>
      <c r="O933" s="9"/>
      <c r="P933" s="8"/>
      <c r="Q933" s="8"/>
      <c r="R933" s="8"/>
      <c r="S933" s="8"/>
      <c r="T933" s="8"/>
      <c r="U933" s="8"/>
      <c r="V933" s="3"/>
      <c r="W933" s="3"/>
      <c r="X933" s="14"/>
      <c r="Y933" s="14"/>
      <c r="Z933" s="14"/>
    </row>
    <row r="934" spans="1:26" ht="18.75" customHeight="1">
      <c r="A934" s="8"/>
      <c r="B934" s="8"/>
      <c r="C934" s="8"/>
      <c r="D934" s="8"/>
      <c r="E934" s="3"/>
      <c r="F934" s="3"/>
      <c r="G934" s="9"/>
      <c r="H934" s="9"/>
      <c r="I934" s="9"/>
      <c r="J934" s="18"/>
      <c r="K934" s="8"/>
      <c r="L934" s="11"/>
      <c r="M934" s="11"/>
      <c r="N934" s="9"/>
      <c r="O934" s="9"/>
      <c r="P934" s="8"/>
      <c r="Q934" s="8"/>
      <c r="R934" s="8"/>
      <c r="S934" s="8"/>
      <c r="T934" s="8"/>
      <c r="U934" s="8"/>
      <c r="V934" s="3"/>
      <c r="W934" s="3"/>
      <c r="X934" s="14"/>
      <c r="Y934" s="14"/>
      <c r="Z934" s="14"/>
    </row>
    <row r="935" spans="1:26" ht="18.75" customHeight="1">
      <c r="A935" s="8"/>
      <c r="B935" s="8"/>
      <c r="C935" s="8"/>
      <c r="D935" s="8"/>
      <c r="E935" s="3"/>
      <c r="F935" s="3"/>
      <c r="G935" s="9"/>
      <c r="H935" s="9"/>
      <c r="I935" s="9"/>
      <c r="J935" s="18"/>
      <c r="K935" s="8"/>
      <c r="L935" s="11"/>
      <c r="M935" s="11"/>
      <c r="N935" s="9"/>
      <c r="O935" s="9"/>
      <c r="P935" s="8"/>
      <c r="Q935" s="8"/>
      <c r="R935" s="8"/>
      <c r="S935" s="8"/>
      <c r="T935" s="8"/>
      <c r="U935" s="8"/>
      <c r="V935" s="3"/>
      <c r="W935" s="3"/>
      <c r="X935" s="14"/>
      <c r="Y935" s="14"/>
      <c r="Z935" s="14"/>
    </row>
    <row r="936" spans="1:26" ht="18.75" customHeight="1">
      <c r="A936" s="8"/>
      <c r="B936" s="8"/>
      <c r="C936" s="8"/>
      <c r="D936" s="8"/>
      <c r="E936" s="3"/>
      <c r="F936" s="3"/>
      <c r="G936" s="9"/>
      <c r="H936" s="9"/>
      <c r="I936" s="9"/>
      <c r="J936" s="18"/>
      <c r="K936" s="8"/>
      <c r="L936" s="11"/>
      <c r="M936" s="11"/>
      <c r="N936" s="9"/>
      <c r="O936" s="9"/>
      <c r="P936" s="8"/>
      <c r="Q936" s="8"/>
      <c r="R936" s="8"/>
      <c r="S936" s="8"/>
      <c r="T936" s="8"/>
      <c r="U936" s="8"/>
      <c r="V936" s="3"/>
      <c r="W936" s="3"/>
      <c r="X936" s="14"/>
      <c r="Y936" s="14"/>
      <c r="Z936" s="14"/>
    </row>
    <row r="937" spans="1:26" ht="18.75" customHeight="1">
      <c r="A937" s="8"/>
      <c r="B937" s="8"/>
      <c r="C937" s="8"/>
      <c r="D937" s="8"/>
      <c r="E937" s="3"/>
      <c r="F937" s="3"/>
      <c r="G937" s="9"/>
      <c r="H937" s="9"/>
      <c r="I937" s="9"/>
      <c r="J937" s="18"/>
      <c r="K937" s="8"/>
      <c r="L937" s="11"/>
      <c r="M937" s="11"/>
      <c r="N937" s="9"/>
      <c r="O937" s="9"/>
      <c r="P937" s="8"/>
      <c r="Q937" s="8"/>
      <c r="R937" s="8"/>
      <c r="S937" s="8"/>
      <c r="T937" s="8"/>
      <c r="U937" s="8"/>
      <c r="V937" s="3"/>
      <c r="W937" s="3"/>
      <c r="X937" s="14"/>
      <c r="Y937" s="14"/>
      <c r="Z937" s="14"/>
    </row>
    <row r="938" spans="1:26" ht="18.75" customHeight="1">
      <c r="A938" s="8"/>
      <c r="B938" s="8"/>
      <c r="C938" s="8"/>
      <c r="D938" s="8"/>
      <c r="E938" s="3"/>
      <c r="F938" s="3"/>
      <c r="G938" s="9"/>
      <c r="H938" s="9"/>
      <c r="I938" s="9"/>
      <c r="J938" s="18"/>
      <c r="K938" s="8"/>
      <c r="L938" s="11"/>
      <c r="M938" s="11"/>
      <c r="N938" s="9"/>
      <c r="O938" s="9"/>
      <c r="P938" s="8"/>
      <c r="Q938" s="8"/>
      <c r="R938" s="8"/>
      <c r="S938" s="8"/>
      <c r="T938" s="8"/>
      <c r="U938" s="8"/>
      <c r="V938" s="3"/>
      <c r="W938" s="3"/>
      <c r="X938" s="14"/>
      <c r="Y938" s="14"/>
      <c r="Z938" s="14"/>
    </row>
    <row r="939" spans="1:26" ht="18.75" customHeight="1">
      <c r="A939" s="8"/>
      <c r="B939" s="8"/>
      <c r="C939" s="8"/>
      <c r="D939" s="8"/>
      <c r="E939" s="3"/>
      <c r="F939" s="3"/>
      <c r="G939" s="9"/>
      <c r="H939" s="9"/>
      <c r="I939" s="9"/>
      <c r="J939" s="18"/>
      <c r="K939" s="8"/>
      <c r="L939" s="11"/>
      <c r="M939" s="11"/>
      <c r="N939" s="9"/>
      <c r="O939" s="9"/>
      <c r="P939" s="8"/>
      <c r="Q939" s="8"/>
      <c r="R939" s="8"/>
      <c r="S939" s="8"/>
      <c r="T939" s="8"/>
      <c r="U939" s="8"/>
      <c r="V939" s="3"/>
      <c r="W939" s="3"/>
      <c r="X939" s="14"/>
      <c r="Y939" s="14"/>
      <c r="Z939" s="14"/>
    </row>
    <row r="940" spans="1:26" ht="18.75" customHeight="1">
      <c r="A940" s="8"/>
      <c r="B940" s="8"/>
      <c r="C940" s="8"/>
      <c r="D940" s="8"/>
      <c r="E940" s="3"/>
      <c r="F940" s="3"/>
      <c r="G940" s="9"/>
      <c r="H940" s="9"/>
      <c r="I940" s="9"/>
      <c r="J940" s="18"/>
      <c r="K940" s="8"/>
      <c r="L940" s="11"/>
      <c r="M940" s="11"/>
      <c r="N940" s="9"/>
      <c r="O940" s="9"/>
      <c r="P940" s="8"/>
      <c r="Q940" s="8"/>
      <c r="R940" s="8"/>
      <c r="S940" s="8"/>
      <c r="T940" s="8"/>
      <c r="U940" s="8"/>
      <c r="V940" s="3"/>
      <c r="W940" s="3"/>
      <c r="X940" s="14"/>
      <c r="Y940" s="14"/>
      <c r="Z940" s="14"/>
    </row>
    <row r="941" spans="1:26" ht="18.75" customHeight="1">
      <c r="A941" s="8"/>
      <c r="B941" s="8"/>
      <c r="C941" s="8"/>
      <c r="D941" s="8"/>
      <c r="E941" s="3"/>
      <c r="F941" s="3"/>
      <c r="G941" s="9"/>
      <c r="H941" s="9"/>
      <c r="I941" s="9"/>
      <c r="J941" s="18"/>
      <c r="K941" s="8"/>
      <c r="L941" s="11"/>
      <c r="M941" s="11"/>
      <c r="N941" s="9"/>
      <c r="O941" s="9"/>
      <c r="P941" s="8"/>
      <c r="Q941" s="8"/>
      <c r="R941" s="8"/>
      <c r="S941" s="8"/>
      <c r="T941" s="8"/>
      <c r="U941" s="8"/>
      <c r="V941" s="3"/>
      <c r="W941" s="3"/>
      <c r="X941" s="14"/>
      <c r="Y941" s="14"/>
      <c r="Z941" s="14"/>
    </row>
    <row r="942" spans="1:26" ht="15" customHeight="1">
      <c r="X942" s="14"/>
      <c r="Y942" s="14"/>
      <c r="Z942" s="14"/>
    </row>
  </sheetData>
  <mergeCells count="6">
    <mergeCell ref="C9:D9"/>
    <mergeCell ref="C8:D8"/>
    <mergeCell ref="B2:N5"/>
    <mergeCell ref="C10:D10"/>
    <mergeCell ref="C7:D7"/>
    <mergeCell ref="C11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쥬얼리프룻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2026-04-27T03:07:59Z</dcterms:modified>
</cp:coreProperties>
</file>