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8240" tabRatio="600" firstSheet="0" activeTab="0" autoFilterDateGrouping="1"/>
  </bookViews>
  <sheets>
    <sheet xmlns:r="http://schemas.openxmlformats.org/officeDocument/2006/relationships" name="쥬얼리프룻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_-* #,##0_-;\-* #,##0_-;_-* &quot;-&quot;_-;_-@"/>
    <numFmt numFmtId="165" formatCode="0.00_);[Red]\(0.00\)"/>
    <numFmt numFmtId="166" formatCode="#,##0_ "/>
    <numFmt numFmtId="167" formatCode="0.0%"/>
    <numFmt numFmtId="168" formatCode="[$-804]\kg"/>
    <numFmt numFmtId="169" formatCode="_ * #,##0.00_ ;_ * \-#,##0.00_ ;_ * &quot;-&quot;??_ ;_ @_ "/>
  </numFmts>
  <fonts count="19">
    <font>
      <name val="Calibri"/>
      <color theme="1"/>
      <sz val="11"/>
      <scheme val="minor"/>
    </font>
    <font>
      <name val="Calibri"/>
      <charset val="129"/>
      <family val="3"/>
      <sz val="8"/>
      <scheme val="minor"/>
    </font>
    <font>
      <name val="Calibri"/>
      <family val="2"/>
      <color theme="10"/>
      <sz val="11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theme="1"/>
      <sz val="5"/>
    </font>
    <font>
      <name val="Calibri"/>
      <charset val="134"/>
      <family val="3"/>
      <color theme="1"/>
      <sz val="11"/>
      <scheme val="minor"/>
    </font>
    <font>
      <name val="LG Smart UI SemiBold"/>
      <charset val="129"/>
      <family val="3"/>
      <b val="1"/>
      <color theme="0"/>
      <sz val="9"/>
    </font>
    <font>
      <name val="LG Smart UI SemiBold"/>
      <charset val="129"/>
      <family val="3"/>
      <b val="1"/>
      <color theme="1"/>
      <sz val="9"/>
    </font>
    <font>
      <name val="LG Smart UI SemiBold"/>
      <charset val="129"/>
      <family val="3"/>
      <b val="1"/>
      <color theme="1"/>
      <sz val="8"/>
    </font>
    <font>
      <name val="LG Smart UI SemiBold"/>
      <charset val="129"/>
      <family val="3"/>
      <b val="1"/>
      <color theme="1"/>
      <sz val="11"/>
    </font>
    <font>
      <name val="LG Smart UI SemiBold"/>
      <charset val="129"/>
      <family val="3"/>
      <b val="1"/>
      <color theme="1"/>
      <sz val="5"/>
    </font>
    <font>
      <name val="LG Smart UI SemiBold"/>
      <charset val="129"/>
      <family val="3"/>
      <b val="1"/>
      <color rgb="FF000000"/>
      <sz val="30"/>
    </font>
    <font>
      <name val="Calibri"/>
      <family val="2"/>
      <color theme="10"/>
      <sz val="5"/>
      <u val="single"/>
      <scheme val="minor"/>
    </font>
    <font>
      <name val="Arial"/>
      <family val="2"/>
      <color theme="1"/>
      <sz val="14"/>
    </font>
    <font>
      <name val="Calibri"/>
      <family val="2"/>
      <color theme="1"/>
      <sz val="11"/>
      <scheme val="minor"/>
    </font>
    <font>
      <name val="Arial"/>
      <family val="2"/>
      <color rgb="FF0000FF"/>
      <sz val="14"/>
    </font>
    <font>
      <name val="맑은 고딕"/>
      <charset val="129"/>
      <family val="3"/>
      <color theme="1"/>
      <sz val="14"/>
    </font>
    <font>
      <name val="Arial"/>
      <charset val="129"/>
      <family val="3"/>
      <color theme="1"/>
      <sz val="14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2CC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CCCCCC"/>
      </right>
      <top style="thin">
        <color indexed="64"/>
      </top>
      <bottom style="thin">
        <color rgb="FF000000"/>
      </bottom>
      <diagonal/>
    </border>
    <border>
      <left/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thin">
        <color rgb="FF000000"/>
      </top>
      <bottom/>
      <diagonal/>
    </border>
  </borders>
  <cellStyleXfs count="6">
    <xf numFmtId="0" fontId="0" fillId="0" borderId="7"/>
    <xf numFmtId="0" fontId="2" fillId="0" borderId="7"/>
    <xf numFmtId="168" fontId="6" fillId="0" borderId="7" applyAlignment="1">
      <alignment vertical="center"/>
    </xf>
    <xf numFmtId="169" fontId="6" fillId="0" borderId="7" applyAlignment="1">
      <alignment vertical="center"/>
    </xf>
    <xf numFmtId="0" fontId="15" fillId="0" borderId="7"/>
    <xf numFmtId="0" fontId="2" fillId="0" borderId="7"/>
  </cellStyleXfs>
  <cellXfs count="9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" fontId="3" fillId="0" borderId="7" applyAlignment="1" pivotButton="0" quotePrefix="0" xfId="0">
      <alignment horizontal="center" vertical="center"/>
    </xf>
    <xf numFmtId="164" fontId="3" fillId="2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166" fontId="9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9" fillId="2" borderId="4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64" fontId="9" fillId="0" borderId="8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 shrinkToFit="1"/>
    </xf>
    <xf numFmtId="167" fontId="9" fillId="2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vertical="center"/>
    </xf>
    <xf numFmtId="0" fontId="7" fillId="6" borderId="10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8" fillId="2" borderId="7" applyAlignment="1" pivotButton="0" quotePrefix="0" xfId="0">
      <alignment horizontal="center" vertical="center"/>
    </xf>
    <xf numFmtId="0" fontId="7" fillId="8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164" fontId="7" fillId="8" borderId="9" applyAlignment="1" pivotButton="0" quotePrefix="0" xfId="0">
      <alignment horizontal="center" vertical="center"/>
    </xf>
    <xf numFmtId="164" fontId="7" fillId="9" borderId="9" applyAlignment="1" pivotButton="0" quotePrefix="0" xfId="0">
      <alignment horizontal="center" vertical="center"/>
    </xf>
    <xf numFmtId="165" fontId="7" fillId="8" borderId="9" applyAlignment="1" pivotButton="0" quotePrefix="0" xfId="0">
      <alignment horizontal="center" vertical="center"/>
    </xf>
    <xf numFmtId="1" fontId="7" fillId="8" borderId="9" applyAlignment="1" pivotButton="0" quotePrefix="0" xfId="0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13" fillId="2" borderId="9" applyAlignment="1" pivotButton="0" quotePrefix="0" xfId="1">
      <alignment horizontal="center" vertical="center"/>
    </xf>
    <xf numFmtId="0" fontId="2" fillId="11" borderId="9" applyAlignment="1" pivotButton="0" quotePrefix="0" xfId="1">
      <alignment horizontal="center" vertical="center" shrinkToFit="1"/>
    </xf>
    <xf numFmtId="0" fontId="3" fillId="10" borderId="0" applyAlignment="1" pivotButton="0" quotePrefix="0" xfId="0">
      <alignment horizontal="center" vertical="center"/>
    </xf>
    <xf numFmtId="0" fontId="14" fillId="0" borderId="19" applyAlignment="1" pivotButton="0" quotePrefix="0" xfId="0">
      <alignment horizontal="center" vertical="center" wrapText="1"/>
    </xf>
    <xf numFmtId="3" fontId="16" fillId="12" borderId="19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3" fontId="16" fillId="12" borderId="2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7" fillId="8" borderId="9" applyAlignment="1" pivotButton="0" quotePrefix="0" xfId="0">
      <alignment horizontal="center" vertical="center"/>
    </xf>
    <xf numFmtId="0" fontId="0" fillId="0" borderId="23" pivotButton="0" quotePrefix="0" xfId="0"/>
    <xf numFmtId="0" fontId="9" fillId="2" borderId="21" applyAlignment="1" pivotButton="0" quotePrefix="0" xfId="0">
      <alignment horizontal="center" vertical="center" wrapText="1"/>
    </xf>
    <xf numFmtId="0" fontId="0" fillId="0" borderId="18" pivotButton="0" quotePrefix="0" xfId="0"/>
    <xf numFmtId="0" fontId="9" fillId="2" borderId="24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4" fontId="3" fillId="2" borderId="7" applyAlignment="1" pivotButton="0" quotePrefix="0" xfId="0">
      <alignment horizontal="center" vertical="center"/>
    </xf>
    <xf numFmtId="164" fontId="7" fillId="8" borderId="9" applyAlignment="1" pivotButton="0" quotePrefix="0" xfId="0">
      <alignment horizontal="center" vertical="center"/>
    </xf>
    <xf numFmtId="164" fontId="7" fillId="9" borderId="9" applyAlignment="1" pivotButton="0" quotePrefix="0" xfId="0">
      <alignment horizontal="center" vertical="center"/>
    </xf>
    <xf numFmtId="165" fontId="7" fillId="8" borderId="9" applyAlignment="1" pivotButton="0" quotePrefix="0" xfId="0">
      <alignment horizontal="center" vertical="center"/>
    </xf>
    <xf numFmtId="164" fontId="8" fillId="2" borderId="7" applyAlignment="1" pivotButton="0" quotePrefix="0" xfId="0">
      <alignment horizontal="center" vertical="center"/>
    </xf>
    <xf numFmtId="0" fontId="9" fillId="2" borderId="27" applyAlignment="1" pivotButton="0" quotePrefix="0" xfId="0">
      <alignment horizontal="center" vertical="center" wrapText="1"/>
    </xf>
    <xf numFmtId="0" fontId="0" fillId="0" borderId="25" pivotButton="0" quotePrefix="0" xfId="0"/>
    <xf numFmtId="164" fontId="9" fillId="2" borderId="2" applyAlignment="1" pivotButton="0" quotePrefix="0" xfId="0">
      <alignment horizontal="center" vertical="center"/>
    </xf>
    <xf numFmtId="166" fontId="9" fillId="2" borderId="2" applyAlignment="1" pivotButton="0" quotePrefix="0" xfId="0">
      <alignment horizontal="center" vertical="center"/>
    </xf>
    <xf numFmtId="165" fontId="9" fillId="0" borderId="2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/>
    </xf>
    <xf numFmtId="164" fontId="9" fillId="2" borderId="8" applyAlignment="1" pivotButton="0" quotePrefix="0" xfId="0">
      <alignment horizontal="center" vertical="center"/>
    </xf>
    <xf numFmtId="164" fontId="9" fillId="2" borderId="4" applyAlignment="1" pivotButton="0" quotePrefix="0" xfId="0">
      <alignment horizontal="center" vertical="center"/>
    </xf>
    <xf numFmtId="164" fontId="9" fillId="0" borderId="8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167" fontId="9" fillId="2" borderId="7" applyAlignment="1" pivotButton="0" quotePrefix="0" xfId="0">
      <alignment horizontal="center" vertical="center"/>
    </xf>
    <xf numFmtId="0" fontId="9" fillId="2" borderId="33" applyAlignment="1" pivotButton="0" quotePrefix="0" xfId="0">
      <alignment horizontal="center" vertical="center" wrapText="1"/>
    </xf>
    <xf numFmtId="0" fontId="0" fillId="0" borderId="26" pivotButton="0" quotePrefix="0" xfId="0"/>
  </cellXfs>
  <cellStyles count="6">
    <cellStyle name="표준" xfId="0" builtinId="0"/>
    <cellStyle name="하이퍼링크" xfId="1" builtinId="8"/>
    <cellStyle name="常规 68 2 2" xfId="2"/>
    <cellStyle name="千位分隔 2 2" xfId="3"/>
    <cellStyle name="표준 2" xfId="4"/>
    <cellStyle name="하이퍼링크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11"/>
  <sheetViews>
    <sheetView showGridLines="0" tabSelected="1" topLeftCell="A7" zoomScale="130" zoomScaleNormal="130" workbookViewId="0">
      <selection activeCell="H9" sqref="H9"/>
    </sheetView>
  </sheetViews>
  <sheetFormatPr baseColWidth="8" defaultColWidth="14.42578125" defaultRowHeight="15" customHeight="1"/>
  <cols>
    <col width="4.140625" customWidth="1" style="57" min="1" max="1"/>
    <col width="5.42578125" customWidth="1" style="57" min="2" max="2"/>
    <col width="5.85546875" customWidth="1" style="57" min="3" max="3"/>
    <col width="27.28515625" customWidth="1" style="57" min="4" max="4"/>
    <col width="33" bestFit="1" customWidth="1" style="57" min="5" max="5"/>
    <col width="9" customWidth="1" style="57" min="6" max="6"/>
    <col width="11.42578125" customWidth="1" style="57" min="7" max="7"/>
    <col width="9.7109375" bestFit="1" customWidth="1" style="57" min="8" max="8"/>
    <col width="11.42578125" customWidth="1" style="57" min="9" max="9"/>
    <col width="11.42578125" customWidth="1" style="73" min="10" max="10"/>
    <col width="11.42578125" customWidth="1" style="57" min="11" max="11"/>
    <col width="6.42578125" customWidth="1" style="59" min="12" max="12"/>
    <col width="5.42578125" customWidth="1" style="59" min="13" max="13"/>
    <col width="11.42578125" customWidth="1" style="57" min="14" max="14"/>
    <col width="0.85546875" customWidth="1" style="57" min="15" max="15"/>
    <col hidden="1" width="11.42578125" customWidth="1" style="57" min="16" max="16"/>
    <col width="2" customWidth="1" style="57" min="17" max="17"/>
    <col hidden="1" width="9.28515625" customWidth="1" style="57" min="18" max="18"/>
    <col hidden="1" width="7.28515625" customWidth="1" style="57" min="19" max="19"/>
    <col width="5.85546875" customWidth="1" style="57" min="20" max="20"/>
    <col width="9.7109375" bestFit="1" customWidth="1" style="57" min="21" max="21"/>
    <col width="8.42578125" bestFit="1" customWidth="1" style="31" min="22" max="22"/>
    <col width="1.28515625" customWidth="1" style="31" min="23" max="23"/>
    <col width="15.28515625" customWidth="1" style="9" min="24" max="24"/>
    <col width="15" customWidth="1" style="8" min="25" max="25"/>
    <col width="15.42578125" customWidth="1" style="8" min="26" max="26"/>
    <col width="14.42578125" customWidth="1" style="57" min="27" max="27"/>
    <col width="14.42578125" customWidth="1" style="57" min="28" max="16384"/>
  </cols>
  <sheetData>
    <row r="1" ht="15" customHeight="1" s="74" thickBot="1"/>
    <row r="2" ht="44.1" customHeight="1" s="74">
      <c r="B2" s="53" t="inlineStr">
        <is>
          <t>소싱현황 관리</t>
        </is>
      </c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5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</row>
    <row r="3" ht="17.25" customHeight="1" s="74">
      <c r="B3" s="56" t="n"/>
      <c r="N3" s="60" t="n"/>
      <c r="O3" s="32" t="n"/>
      <c r="P3" s="32" t="n"/>
      <c r="Q3" s="32" t="n"/>
      <c r="R3" s="32" t="n"/>
      <c r="S3" s="32" t="n"/>
      <c r="V3" s="32" t="n"/>
      <c r="W3" s="32" t="n"/>
      <c r="X3" s="32" t="n"/>
      <c r="Y3" s="32" t="n"/>
      <c r="Z3" s="32" t="n"/>
    </row>
    <row r="4" ht="15" customHeight="1" s="74">
      <c r="B4" s="56" t="n"/>
      <c r="N4" s="60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</row>
    <row r="5" ht="15" customHeight="1" s="74" thickBot="1">
      <c r="B5" s="61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3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</row>
    <row r="6" ht="15" customHeight="1" s="74">
      <c r="A6" s="3" t="n"/>
      <c r="B6" s="4" t="n"/>
      <c r="C6" s="4" t="n"/>
      <c r="D6" s="4" t="n"/>
      <c r="E6" s="4" t="n"/>
      <c r="F6" s="4" t="n"/>
      <c r="G6" s="75" t="n"/>
      <c r="H6" s="75" t="n"/>
      <c r="I6" s="75" t="n"/>
      <c r="J6" s="76" t="n"/>
      <c r="K6" s="75" t="n"/>
      <c r="L6" s="6" t="n"/>
      <c r="M6" s="6" t="n"/>
      <c r="N6" s="75" t="n"/>
      <c r="O6" s="77" t="n"/>
      <c r="P6" s="3" t="n"/>
      <c r="Q6" s="3" t="n"/>
      <c r="R6" s="3" t="n"/>
      <c r="S6" s="3" t="n"/>
      <c r="T6" s="3" t="n"/>
    </row>
    <row r="7" ht="18" customHeight="1" s="74" thickBot="1">
      <c r="A7" s="14" t="n"/>
      <c r="B7" s="64" t="inlineStr">
        <is>
          <t>NO</t>
        </is>
      </c>
      <c r="C7" s="64" t="inlineStr">
        <is>
          <t>상품명</t>
        </is>
      </c>
      <c r="D7" s="65" t="n"/>
      <c r="E7" s="40" t="inlineStr">
        <is>
          <t xml:space="preserve">옵션 </t>
        </is>
      </c>
      <c r="F7" s="40" t="inlineStr">
        <is>
          <t>수량</t>
        </is>
      </c>
      <c r="G7" s="78" t="inlineStr">
        <is>
          <t>판매가</t>
        </is>
      </c>
      <c r="H7" s="78" t="inlineStr">
        <is>
          <t>쿠폰가</t>
        </is>
      </c>
      <c r="I7" s="79" t="inlineStr">
        <is>
          <t>공급가(vip)</t>
        </is>
      </c>
      <c r="J7" s="80" t="inlineStr">
        <is>
          <t>원가 (위안)</t>
        </is>
      </c>
      <c r="K7" s="64" t="inlineStr">
        <is>
          <t>수수료(%)</t>
        </is>
      </c>
      <c r="L7" s="44" t="inlineStr">
        <is>
          <t>물류비</t>
        </is>
      </c>
      <c r="M7" s="44" t="inlineStr">
        <is>
          <t>포장/부자재</t>
        </is>
      </c>
      <c r="N7" s="79" t="inlineStr">
        <is>
          <t>마케팅</t>
        </is>
      </c>
      <c r="O7" s="81" t="n"/>
      <c r="P7" s="12" t="inlineStr">
        <is>
          <t>수수료</t>
        </is>
      </c>
      <c r="Q7" s="12" t="inlineStr">
        <is>
          <t>부가세</t>
        </is>
      </c>
      <c r="R7" s="13" t="inlineStr">
        <is>
          <t>1차 합계</t>
        </is>
      </c>
      <c r="S7" s="12" t="inlineStr">
        <is>
          <t>소득세</t>
        </is>
      </c>
      <c r="T7" s="12" t="inlineStr">
        <is>
          <t>cs*로스비용</t>
        </is>
      </c>
      <c r="U7" s="33" t="inlineStr">
        <is>
          <t>마진</t>
        </is>
      </c>
      <c r="V7" s="35" t="inlineStr">
        <is>
          <t>마진율</t>
        </is>
      </c>
      <c r="W7" s="37" t="n"/>
      <c r="X7" s="15" t="inlineStr">
        <is>
          <t>공급처URL</t>
        </is>
      </c>
      <c r="Y7" s="15" t="inlineStr">
        <is>
          <t>경쟁사1</t>
        </is>
      </c>
      <c r="Z7" s="15" t="inlineStr">
        <is>
          <t>경쟁사2</t>
        </is>
      </c>
    </row>
    <row r="8" ht="18" customHeight="1" s="74" thickBot="1">
      <c r="A8" s="21" t="n"/>
      <c r="B8" s="16" t="n">
        <v>1</v>
      </c>
      <c r="C8" s="82" t="inlineStr">
        <is>
          <t>제주다팜</t>
        </is>
      </c>
      <c r="D8" s="83" t="n"/>
      <c r="E8" s="72" t="inlineStr">
        <is>
          <t>로얄과 1kg</t>
        </is>
      </c>
      <c r="F8" s="27" t="n">
        <v>1</v>
      </c>
      <c r="G8" s="84">
        <f>H8+500</f>
        <v/>
      </c>
      <c r="H8" s="85" t="n">
        <v>9800</v>
      </c>
      <c r="I8" s="50" t="n">
        <v>4900</v>
      </c>
      <c r="J8" s="86" t="n">
        <v>0</v>
      </c>
      <c r="K8" s="87" t="n">
        <v>0.1166</v>
      </c>
      <c r="L8" s="24" t="n"/>
      <c r="M8" s="24" t="n">
        <v>0</v>
      </c>
      <c r="N8" s="88">
        <f>H8*3%</f>
        <v/>
      </c>
      <c r="O8" s="89" t="n"/>
      <c r="P8" s="90">
        <f>(G8*K8)+(H8*3.63%)</f>
        <v/>
      </c>
      <c r="Q8" s="90">
        <f>((H8)-(I8+L8+M8+N8+P8))*0%</f>
        <v/>
      </c>
      <c r="R8" s="90">
        <f>H8-I8-L8-M8-N8-P8-Q8</f>
        <v/>
      </c>
      <c r="S8" s="90">
        <f>R8*16%</f>
        <v/>
      </c>
      <c r="T8" s="91">
        <f>G8*1%</f>
        <v/>
      </c>
      <c r="U8" s="92">
        <f>H8-I8-L8-M8-N8-P8-Q8-S8-T8</f>
        <v/>
      </c>
      <c r="V8" s="93">
        <f>IF(U8=0,"",U8/G8)</f>
        <v/>
      </c>
      <c r="W8" s="94" t="n"/>
      <c r="X8" s="46" t="inlineStr">
        <is>
          <t>https://pbfcompany.adminplus.co.kr/partner/?mod=product&amp;actpage=prt.list&amp;searchval=%EB%B0%A4%ED%98%B8%EB%B0%95</t>
        </is>
      </c>
      <c r="Y8" s="45" t="n"/>
      <c r="Z8" s="29" t="n"/>
    </row>
    <row r="9" ht="18" customHeight="1" s="74" thickBot="1">
      <c r="A9" s="21" t="n"/>
      <c r="B9" s="16" t="n">
        <v>1</v>
      </c>
      <c r="C9" s="82" t="inlineStr">
        <is>
          <t>제주다팜</t>
        </is>
      </c>
      <c r="D9" s="83" t="n"/>
      <c r="E9" s="49" t="inlineStr">
        <is>
          <t>로얄과 3kg</t>
        </is>
      </c>
      <c r="F9" s="27" t="n">
        <v>1</v>
      </c>
      <c r="G9" s="84">
        <f>H9+500</f>
        <v/>
      </c>
      <c r="H9" s="85" t="n">
        <v>13700</v>
      </c>
      <c r="I9" s="50" t="n">
        <v>8050</v>
      </c>
      <c r="J9" s="86" t="n">
        <v>0</v>
      </c>
      <c r="K9" s="87" t="n">
        <v>0.1166</v>
      </c>
      <c r="L9" s="24" t="n"/>
      <c r="M9" s="24" t="n">
        <v>0</v>
      </c>
      <c r="N9" s="88">
        <f>H9*3%</f>
        <v/>
      </c>
      <c r="O9" s="89" t="n"/>
      <c r="P9" s="90">
        <f>(G9*K9)+(H9*3.63%)</f>
        <v/>
      </c>
      <c r="Q9" s="90">
        <f>((H9)-(I9+L9+M9+N9+P9))*0%</f>
        <v/>
      </c>
      <c r="R9" s="90">
        <f>H9-I9-L9-M9-N9-P9-Q9</f>
        <v/>
      </c>
      <c r="S9" s="90">
        <f>R9*16%</f>
        <v/>
      </c>
      <c r="T9" s="91">
        <f>G9*1%</f>
        <v/>
      </c>
      <c r="U9" s="92">
        <f>H9-I9-L9-M9-N9-P9-Q9-S9-T9</f>
        <v/>
      </c>
      <c r="V9" s="93">
        <f>IF(U9=0,"",U9/G9)</f>
        <v/>
      </c>
      <c r="W9" s="94" t="n"/>
      <c r="X9" s="46" t="inlineStr">
        <is>
          <t>https://pbfcompany.adminplus.co.kr/partner/?mod=product&amp;actpage=prt.list&amp;searchval=%EB%B0%A4%ED%98%B8%EB%B0%95</t>
        </is>
      </c>
      <c r="Y9" s="45" t="n"/>
      <c r="Z9" s="29" t="n"/>
    </row>
    <row r="10" ht="18" customHeight="1" s="74" thickBot="1">
      <c r="A10" s="21" t="n"/>
      <c r="B10" s="16" t="n">
        <v>2</v>
      </c>
      <c r="C10" s="95" t="inlineStr">
        <is>
          <t>제주다팜</t>
        </is>
      </c>
      <c r="D10" s="96" t="n"/>
      <c r="E10" s="51" t="inlineStr">
        <is>
          <t>로얄과 5kg</t>
        </is>
      </c>
      <c r="F10" s="27" t="n">
        <v>1</v>
      </c>
      <c r="G10" s="84">
        <f>H10+500</f>
        <v/>
      </c>
      <c r="H10" s="85" t="n">
        <v>20700</v>
      </c>
      <c r="I10" s="52" t="n">
        <v>10250</v>
      </c>
      <c r="J10" s="86" t="n">
        <v>0</v>
      </c>
      <c r="K10" s="87" t="n">
        <v>0.1166</v>
      </c>
      <c r="L10" s="24" t="n"/>
      <c r="M10" s="24" t="n">
        <v>0</v>
      </c>
      <c r="N10" s="88">
        <f>H10*3%</f>
        <v/>
      </c>
      <c r="O10" s="89" t="n"/>
      <c r="P10" s="90">
        <f>(G10*K10)+(H10*3.63%)</f>
        <v/>
      </c>
      <c r="Q10" s="90">
        <f>((H10)-(I10+L10+M10+N10+P10))*0%</f>
        <v/>
      </c>
      <c r="R10" s="90">
        <f>H10-I10-L10-M10-N10-P10-Q10</f>
        <v/>
      </c>
      <c r="S10" s="90">
        <f>R10*16%</f>
        <v/>
      </c>
      <c r="T10" s="91">
        <f>G10*1%</f>
        <v/>
      </c>
      <c r="U10" s="92">
        <f>H10-I10-L10-M10-N10-P10-Q10-S10-T10</f>
        <v/>
      </c>
      <c r="V10" s="93">
        <f>IF(U10=0,"",U10/G10)</f>
        <v/>
      </c>
      <c r="W10" s="94" t="n"/>
      <c r="X10" s="46" t="inlineStr">
        <is>
          <t>https://pbfcompany.adminplus.co.kr/partner/?mod=product&amp;actpage=prt.list&amp;searchval=%EB%B0%A4%ED%98%B8%EB%B0%95</t>
        </is>
      </c>
      <c r="Y10" s="45" t="n"/>
      <c r="Z10" s="29" t="n"/>
    </row>
    <row r="11" ht="18" customHeight="1" s="74" thickBot="1">
      <c r="A11" s="21" t="n"/>
      <c r="B11" s="16" t="n">
        <v>3</v>
      </c>
      <c r="C11" s="66" t="inlineStr">
        <is>
          <t>제주다팜</t>
        </is>
      </c>
      <c r="D11" s="67" t="n"/>
      <c r="E11" s="51" t="inlineStr">
        <is>
          <t>로얄과 10kg</t>
        </is>
      </c>
      <c r="F11" s="27" t="n">
        <v>1</v>
      </c>
      <c r="G11" s="84">
        <f>H11+500</f>
        <v/>
      </c>
      <c r="H11" s="85" t="n">
        <v>38800</v>
      </c>
      <c r="I11" s="52" t="n">
        <v>15400</v>
      </c>
      <c r="J11" s="86" t="n">
        <v>0</v>
      </c>
      <c r="K11" s="87" t="n">
        <v>0.1166</v>
      </c>
      <c r="L11" s="24" t="n"/>
      <c r="M11" s="24" t="n">
        <v>0</v>
      </c>
      <c r="N11" s="88">
        <f>H11*3%</f>
        <v/>
      </c>
      <c r="O11" s="89" t="n"/>
      <c r="P11" s="90">
        <f>(G11*K11)+(H11*3.63%)</f>
        <v/>
      </c>
      <c r="Q11" s="90">
        <f>((H11)-(I11+L11+M11+N11+P11))*0%</f>
        <v/>
      </c>
      <c r="R11" s="90">
        <f>H11-I11-L11-M11-N11-P11-Q11</f>
        <v/>
      </c>
      <c r="S11" s="90">
        <f>R11*16%</f>
        <v/>
      </c>
      <c r="T11" s="91">
        <f>G11*1%</f>
        <v/>
      </c>
      <c r="U11" s="92">
        <f>H11-I11-L11-M11-N11-P11-Q11-S11-T11</f>
        <v/>
      </c>
      <c r="V11" s="93">
        <f>IF(U11=0,"",U11/G11)</f>
        <v/>
      </c>
      <c r="W11" s="94" t="n"/>
      <c r="X11" s="46" t="inlineStr">
        <is>
          <t>https://pbfcompany.adminplus.co.kr/partner/?mod=product&amp;actpage=prt.list&amp;searchval=%EB%B0%A4%ED%98%B8%EB%B0%95</t>
        </is>
      </c>
      <c r="Y11" s="45" t="n"/>
      <c r="Z11" s="47" t="n"/>
    </row>
    <row r="12" ht="18" customHeight="1" s="74" thickBot="1"/>
    <row r="13" ht="18" customFormat="1" customHeight="1" s="48" thickBot="1"/>
    <row r="14" ht="18" customHeight="1" s="74"/>
    <row r="15" ht="18.75" customHeight="1" s="74"/>
    <row r="16" ht="18.75" customHeight="1" s="74" thickBot="1"/>
    <row r="17" ht="18.75" customHeight="1" s="74" thickBot="1"/>
    <row r="18" ht="20.1" customHeight="1" s="74" thickBot="1"/>
    <row r="19" ht="20.1" customHeight="1" s="74" thickBot="1"/>
    <row r="20" ht="20.1" customHeight="1" s="74" thickBot="1"/>
    <row r="21" ht="20.1" customHeight="1" s="74" thickBot="1"/>
    <row r="22" ht="20.1" customHeight="1" s="74" thickBot="1"/>
    <row r="23" ht="20.1" customHeight="1" s="74" thickBot="1"/>
    <row r="24" ht="18.75" customHeight="1" s="74" thickBot="1"/>
    <row r="25" ht="20.1" customHeight="1" s="74" thickBot="1"/>
    <row r="26" ht="20.1" customHeight="1" s="74" thickBot="1"/>
    <row r="27" ht="18.75" customHeight="1" s="74"/>
    <row r="28" ht="18.75" customHeight="1" s="74"/>
    <row r="29" ht="18.75" customHeight="1" s="74"/>
    <row r="30" ht="18.75" customHeight="1" s="74"/>
    <row r="31" ht="18.75" customHeight="1" s="74"/>
    <row r="32" ht="18.75" customHeight="1" s="74"/>
    <row r="33" ht="18.75" customHeight="1" s="74"/>
    <row r="34" ht="18.75" customHeight="1" s="74"/>
    <row r="35" ht="18.75" customHeight="1" s="74"/>
    <row r="36" ht="18.75" customHeight="1" s="74"/>
    <row r="37" ht="18.75" customHeight="1" s="74"/>
    <row r="38" ht="18.75" customHeight="1" s="74"/>
    <row r="39" ht="18.75" customHeight="1" s="74"/>
    <row r="40" ht="18.75" customHeight="1" s="74"/>
    <row r="41" ht="18.75" customHeight="1" s="74"/>
    <row r="42" ht="18.75" customHeight="1" s="74"/>
    <row r="43" ht="18.75" customHeight="1" s="74"/>
    <row r="44" ht="18.75" customHeight="1" s="74"/>
    <row r="45" ht="18.75" customHeight="1" s="74"/>
    <row r="46" ht="18.75" customHeight="1" s="74"/>
    <row r="47" ht="18.75" customHeight="1" s="74"/>
    <row r="48" ht="18.75" customHeight="1" s="74"/>
    <row r="49" ht="18.75" customHeight="1" s="74"/>
    <row r="50" ht="18.75" customHeight="1" s="74"/>
    <row r="51" ht="18.75" customHeight="1" s="74"/>
    <row r="52" ht="18.75" customHeight="1" s="74"/>
    <row r="53" ht="18.75" customHeight="1" s="74"/>
    <row r="54" ht="18.75" customHeight="1" s="74"/>
    <row r="55" ht="18.75" customHeight="1" s="74"/>
    <row r="56" ht="18.75" customHeight="1" s="74"/>
    <row r="57" ht="18.75" customHeight="1" s="74"/>
    <row r="58" ht="18.75" customHeight="1" s="74"/>
    <row r="59" ht="18.75" customHeight="1" s="74"/>
    <row r="60" ht="18.75" customHeight="1" s="74"/>
    <row r="61" ht="18.75" customHeight="1" s="74"/>
    <row r="62" ht="18.75" customHeight="1" s="74"/>
    <row r="63" ht="18.75" customHeight="1" s="74"/>
    <row r="64" ht="18.75" customHeight="1" s="74"/>
    <row r="65" ht="18.75" customHeight="1" s="74"/>
    <row r="66" ht="18.75" customHeight="1" s="74"/>
    <row r="67" ht="18.75" customHeight="1" s="74"/>
    <row r="68" ht="18.75" customHeight="1" s="74"/>
    <row r="69" ht="18.75" customHeight="1" s="74"/>
    <row r="70" ht="18.75" customHeight="1" s="74"/>
    <row r="71" ht="18.75" customHeight="1" s="74"/>
    <row r="72" ht="18.75" customHeight="1" s="74"/>
    <row r="73" ht="18.75" customHeight="1" s="74"/>
    <row r="74" ht="18.75" customHeight="1" s="74"/>
    <row r="75" ht="18.75" customHeight="1" s="74"/>
    <row r="76" ht="18.75" customHeight="1" s="74"/>
    <row r="77" ht="18.75" customHeight="1" s="74"/>
    <row r="78" ht="18.75" customHeight="1" s="74"/>
    <row r="79" ht="18.75" customHeight="1" s="74"/>
    <row r="80" ht="18.75" customHeight="1" s="74"/>
    <row r="81" ht="18.75" customHeight="1" s="74"/>
    <row r="82" ht="18.75" customHeight="1" s="74"/>
    <row r="83" ht="18.75" customHeight="1" s="74"/>
    <row r="84" ht="18.75" customHeight="1" s="74"/>
    <row r="85" ht="18.75" customHeight="1" s="74"/>
    <row r="86" ht="18.75" customHeight="1" s="74"/>
    <row r="87" ht="18.75" customHeight="1" s="74"/>
    <row r="88" ht="18.75" customHeight="1" s="74"/>
    <row r="89" ht="18.75" customHeight="1" s="74"/>
    <row r="90" ht="18.75" customHeight="1" s="74"/>
    <row r="91" ht="18.75" customHeight="1" s="74"/>
    <row r="92" ht="18.75" customHeight="1" s="74"/>
    <row r="93" ht="18.75" customHeight="1" s="74"/>
    <row r="94" ht="18.75" customHeight="1" s="74"/>
    <row r="95" ht="18.75" customHeight="1" s="74"/>
    <row r="96" ht="18.75" customHeight="1" s="74"/>
    <row r="97" ht="18.75" customHeight="1" s="74"/>
    <row r="98" ht="18.75" customHeight="1" s="74"/>
    <row r="99" ht="18.75" customHeight="1" s="74"/>
    <row r="100" ht="18.75" customHeight="1" s="74"/>
    <row r="101" ht="18.75" customHeight="1" s="74"/>
    <row r="102" ht="18.75" customHeight="1" s="74"/>
    <row r="103" ht="18.75" customHeight="1" s="74"/>
    <row r="104" ht="18.75" customHeight="1" s="74"/>
    <row r="105" ht="18.75" customHeight="1" s="74"/>
    <row r="106" ht="18.75" customHeight="1" s="74"/>
    <row r="107" ht="18.75" customHeight="1" s="74"/>
    <row r="108" ht="18.75" customHeight="1" s="74"/>
    <row r="109" ht="18.75" customHeight="1" s="74"/>
    <row r="110" ht="18.75" customHeight="1" s="74"/>
    <row r="111" ht="18.75" customHeight="1" s="74"/>
    <row r="112" ht="18.75" customHeight="1" s="74"/>
    <row r="113" ht="18.75" customHeight="1" s="74"/>
    <row r="114" ht="18.75" customHeight="1" s="74"/>
    <row r="115" ht="18.75" customHeight="1" s="74"/>
    <row r="116" ht="18.75" customHeight="1" s="74"/>
    <row r="117" ht="18.75" customHeight="1" s="74"/>
    <row r="118" ht="18.75" customHeight="1" s="74"/>
    <row r="119" ht="18.75" customHeight="1" s="74"/>
    <row r="120" ht="18.75" customHeight="1" s="74"/>
    <row r="121" ht="18.75" customHeight="1" s="74"/>
    <row r="122" ht="18.75" customHeight="1" s="74"/>
    <row r="123" ht="18.75" customHeight="1" s="74"/>
    <row r="124" ht="18.75" customHeight="1" s="74"/>
    <row r="125" ht="18.75" customHeight="1" s="74"/>
    <row r="126" ht="18.75" customHeight="1" s="74"/>
    <row r="127" ht="18.75" customHeight="1" s="74"/>
    <row r="128" ht="18.75" customHeight="1" s="74"/>
    <row r="129" ht="18.75" customHeight="1" s="74"/>
    <row r="130" ht="18.75" customHeight="1" s="74"/>
    <row r="131" ht="18.75" customHeight="1" s="74"/>
    <row r="132" ht="18.75" customHeight="1" s="74"/>
    <row r="133" ht="18.75" customHeight="1" s="74"/>
    <row r="134" ht="18.75" customHeight="1" s="74"/>
    <row r="135" ht="18.75" customHeight="1" s="74"/>
    <row r="136" ht="18.75" customHeight="1" s="74"/>
    <row r="137" ht="18.75" customHeight="1" s="74"/>
    <row r="138" ht="18.75" customHeight="1" s="74"/>
    <row r="139" ht="18.75" customHeight="1" s="74"/>
    <row r="140" ht="18.75" customHeight="1" s="74"/>
    <row r="141" ht="18.75" customHeight="1" s="74"/>
    <row r="142" ht="18.75" customHeight="1" s="74"/>
    <row r="143" ht="18.75" customHeight="1" s="74"/>
    <row r="144" ht="18.75" customHeight="1" s="74"/>
    <row r="145" ht="18.75" customHeight="1" s="74"/>
    <row r="146" ht="18.75" customHeight="1" s="74"/>
    <row r="147" ht="18.75" customHeight="1" s="74"/>
    <row r="148" ht="18.75" customHeight="1" s="74"/>
    <row r="149" ht="18.75" customHeight="1" s="74"/>
    <row r="150" ht="18.75" customHeight="1" s="74"/>
    <row r="151" ht="18.75" customHeight="1" s="74"/>
    <row r="152" ht="18.75" customHeight="1" s="74"/>
    <row r="153" ht="18.75" customHeight="1" s="74"/>
    <row r="154" ht="18.75" customHeight="1" s="74"/>
    <row r="155" ht="18.75" customHeight="1" s="74"/>
    <row r="156" ht="18.75" customHeight="1" s="74"/>
    <row r="157" ht="18.75" customHeight="1" s="74"/>
    <row r="158" ht="18.75" customHeight="1" s="74"/>
    <row r="159" ht="18.75" customHeight="1" s="74"/>
    <row r="160" ht="18.75" customHeight="1" s="74"/>
    <row r="161" ht="18.75" customHeight="1" s="74"/>
    <row r="162" ht="18.75" customHeight="1" s="74"/>
    <row r="163" ht="18.75" customHeight="1" s="74"/>
    <row r="164" ht="18.75" customHeight="1" s="74"/>
    <row r="165" ht="18.75" customHeight="1" s="74"/>
    <row r="166" ht="18.75" customHeight="1" s="74"/>
    <row r="167" ht="18.75" customHeight="1" s="74"/>
    <row r="168" ht="18.75" customHeight="1" s="74"/>
    <row r="169" ht="18.75" customHeight="1" s="74"/>
    <row r="170" ht="18.75" customHeight="1" s="74"/>
    <row r="171" ht="18.75" customHeight="1" s="74"/>
    <row r="172" ht="18.75" customHeight="1" s="74"/>
    <row r="173" ht="18.75" customHeight="1" s="74"/>
    <row r="174" ht="18.75" customHeight="1" s="74"/>
    <row r="175" ht="18.75" customHeight="1" s="74"/>
    <row r="176" ht="18.75" customHeight="1" s="74"/>
    <row r="177" ht="18.75" customHeight="1" s="74"/>
    <row r="178" ht="18.75" customHeight="1" s="74"/>
    <row r="179" ht="18.75" customHeight="1" s="74"/>
    <row r="180" ht="18.75" customHeight="1" s="74"/>
    <row r="181" ht="18.75" customHeight="1" s="74"/>
    <row r="182" ht="18.75" customHeight="1" s="74"/>
    <row r="183" ht="18.75" customHeight="1" s="74"/>
    <row r="184" ht="18.75" customHeight="1" s="74"/>
    <row r="185" ht="18.75" customHeight="1" s="74"/>
    <row r="186" ht="18.75" customHeight="1" s="74"/>
    <row r="187" ht="18.75" customHeight="1" s="74"/>
    <row r="188" ht="18.75" customHeight="1" s="74"/>
    <row r="189" ht="18.75" customHeight="1" s="74"/>
    <row r="190" ht="18.75" customHeight="1" s="74"/>
    <row r="191" ht="18.75" customHeight="1" s="74"/>
    <row r="192" ht="18.75" customHeight="1" s="74"/>
    <row r="193" ht="18.75" customHeight="1" s="74"/>
    <row r="194" ht="18.75" customHeight="1" s="74"/>
    <row r="195" ht="18.75" customHeight="1" s="74"/>
    <row r="196" ht="18.75" customHeight="1" s="74"/>
    <row r="197" ht="18.75" customHeight="1" s="74"/>
    <row r="198" ht="18.75" customHeight="1" s="74"/>
    <row r="199" ht="18.75" customHeight="1" s="74"/>
    <row r="200" ht="18.75" customHeight="1" s="74"/>
    <row r="201" ht="18.75" customHeight="1" s="74"/>
    <row r="202" ht="18.75" customHeight="1" s="74"/>
    <row r="203" ht="18.75" customHeight="1" s="74"/>
    <row r="204" ht="18.75" customHeight="1" s="74"/>
    <row r="205" ht="18.75" customHeight="1" s="74"/>
    <row r="206" ht="18.75" customHeight="1" s="74"/>
    <row r="207" ht="18.75" customHeight="1" s="74"/>
    <row r="208" ht="18.75" customHeight="1" s="74"/>
    <row r="209" ht="18.75" customHeight="1" s="74"/>
    <row r="210" ht="18.75" customHeight="1" s="74"/>
    <row r="211" ht="18.75" customHeight="1" s="74"/>
    <row r="212" ht="18.75" customHeight="1" s="74"/>
    <row r="213" ht="18.75" customHeight="1" s="74"/>
    <row r="214" ht="18.75" customHeight="1" s="74"/>
    <row r="215" ht="18.75" customHeight="1" s="74"/>
    <row r="216" ht="18.75" customHeight="1" s="74"/>
    <row r="217" ht="18.75" customHeight="1" s="74"/>
    <row r="218" ht="18.75" customHeight="1" s="74"/>
    <row r="219" ht="18.75" customHeight="1" s="74"/>
    <row r="220" ht="18.75" customHeight="1" s="74"/>
    <row r="221" ht="18.75" customHeight="1" s="74"/>
    <row r="222" ht="18.75" customHeight="1" s="74"/>
    <row r="223" ht="18.75" customHeight="1" s="74"/>
    <row r="224" ht="18.75" customHeight="1" s="74"/>
    <row r="225" ht="18.75" customHeight="1" s="74"/>
    <row r="226" ht="18.75" customHeight="1" s="74"/>
    <row r="227" ht="18.75" customHeight="1" s="74"/>
    <row r="228" ht="18.75" customHeight="1" s="74"/>
    <row r="229" ht="18.75" customHeight="1" s="74"/>
    <row r="230" ht="18.75" customHeight="1" s="74"/>
    <row r="231" ht="18.75" customHeight="1" s="74"/>
    <row r="232" ht="18.75" customHeight="1" s="74"/>
    <row r="233" ht="18.75" customHeight="1" s="74"/>
    <row r="234" ht="18.75" customHeight="1" s="74"/>
    <row r="235" ht="18.75" customHeight="1" s="74"/>
    <row r="236" ht="18.75" customHeight="1" s="74"/>
    <row r="237" ht="18.75" customHeight="1" s="74"/>
    <row r="238" ht="18.75" customHeight="1" s="74"/>
    <row r="239" ht="18.75" customHeight="1" s="74"/>
    <row r="240" ht="18.75" customHeight="1" s="74"/>
    <row r="241" ht="18.75" customHeight="1" s="74"/>
    <row r="242" ht="18.75" customHeight="1" s="74"/>
    <row r="243" ht="18.75" customHeight="1" s="74"/>
    <row r="244" ht="18.75" customHeight="1" s="74"/>
    <row r="245" ht="18.75" customHeight="1" s="74"/>
    <row r="246" ht="18.75" customHeight="1" s="74"/>
    <row r="247" ht="18.75" customHeight="1" s="74"/>
    <row r="248" ht="18.75" customHeight="1" s="74"/>
    <row r="249" ht="18.75" customHeight="1" s="74"/>
    <row r="250" ht="18.75" customHeight="1" s="74"/>
    <row r="251" ht="18.75" customHeight="1" s="74"/>
    <row r="252" ht="18.75" customHeight="1" s="74"/>
    <row r="253" ht="18.75" customHeight="1" s="74"/>
    <row r="254" ht="18.75" customHeight="1" s="74"/>
    <row r="255" ht="18.75" customHeight="1" s="74"/>
    <row r="256" ht="18.75" customHeight="1" s="74"/>
    <row r="257" ht="18.75" customHeight="1" s="74"/>
    <row r="258" ht="18.75" customHeight="1" s="74"/>
    <row r="259" ht="18.75" customHeight="1" s="74"/>
    <row r="260" ht="18.75" customHeight="1" s="74"/>
    <row r="261" ht="18.75" customHeight="1" s="74"/>
    <row r="262" ht="18.75" customHeight="1" s="74"/>
    <row r="263" ht="18.75" customHeight="1" s="74"/>
    <row r="264" ht="18.75" customHeight="1" s="74"/>
    <row r="265" ht="18.75" customHeight="1" s="74"/>
    <row r="266" ht="18.75" customHeight="1" s="74"/>
    <row r="267" ht="18.75" customHeight="1" s="74"/>
    <row r="268" ht="18.75" customHeight="1" s="74"/>
    <row r="269" ht="18.75" customHeight="1" s="74"/>
    <row r="270" ht="18.75" customHeight="1" s="74"/>
    <row r="271" ht="18.75" customHeight="1" s="74"/>
    <row r="272" ht="18.75" customHeight="1" s="74"/>
    <row r="273" ht="18.75" customHeight="1" s="74"/>
    <row r="274" ht="18.75" customHeight="1" s="74"/>
    <row r="275" ht="18.75" customHeight="1" s="74"/>
    <row r="276" ht="18.75" customHeight="1" s="74"/>
    <row r="277" ht="18.75" customHeight="1" s="74"/>
    <row r="278" ht="18.75" customHeight="1" s="74"/>
    <row r="279" ht="18.75" customHeight="1" s="74"/>
    <row r="280" ht="18.75" customHeight="1" s="74"/>
    <row r="281" ht="18.75" customHeight="1" s="74"/>
    <row r="282" ht="18.75" customHeight="1" s="74"/>
    <row r="283" ht="18.75" customHeight="1" s="74"/>
    <row r="284" ht="18.75" customHeight="1" s="74"/>
    <row r="285" ht="18.75" customHeight="1" s="74"/>
    <row r="286" ht="18.75" customHeight="1" s="74"/>
    <row r="287" ht="18.75" customHeight="1" s="74"/>
    <row r="288" ht="18.75" customHeight="1" s="74"/>
    <row r="289" ht="18.75" customHeight="1" s="74"/>
    <row r="290" ht="18.75" customHeight="1" s="74"/>
    <row r="291" ht="18.75" customHeight="1" s="74"/>
    <row r="292" ht="18.75" customHeight="1" s="74"/>
    <row r="293" ht="18.75" customHeight="1" s="74"/>
    <row r="294" ht="18.75" customHeight="1" s="74"/>
    <row r="295" ht="18.75" customHeight="1" s="74"/>
    <row r="296" ht="18.75" customHeight="1" s="74"/>
    <row r="297" ht="18.75" customHeight="1" s="74"/>
    <row r="298" ht="18.75" customHeight="1" s="74"/>
    <row r="299" ht="18.75" customHeight="1" s="74"/>
    <row r="300" ht="18.75" customHeight="1" s="74"/>
    <row r="301" ht="18.75" customHeight="1" s="74"/>
    <row r="302" ht="18.75" customHeight="1" s="74"/>
    <row r="303" ht="18.75" customHeight="1" s="74"/>
    <row r="304" ht="18.75" customHeight="1" s="74"/>
    <row r="305" ht="18.75" customHeight="1" s="74"/>
    <row r="306" ht="18.75" customHeight="1" s="74"/>
    <row r="307" ht="18.75" customHeight="1" s="74"/>
    <row r="308" ht="18.75" customHeight="1" s="74"/>
    <row r="309" ht="18.75" customHeight="1" s="74"/>
    <row r="310" ht="18.75" customHeight="1" s="74"/>
    <row r="311" ht="18.75" customHeight="1" s="74"/>
    <row r="312" ht="18.75" customHeight="1" s="74"/>
    <row r="313" ht="18.75" customHeight="1" s="74"/>
    <row r="314" ht="18.75" customHeight="1" s="74"/>
    <row r="315" ht="18.75" customHeight="1" s="74"/>
    <row r="316" ht="18.75" customHeight="1" s="74"/>
    <row r="317" ht="18.75" customHeight="1" s="74"/>
    <row r="318" ht="18.75" customHeight="1" s="74"/>
    <row r="319" ht="18.75" customHeight="1" s="74"/>
    <row r="320" ht="18.75" customHeight="1" s="74"/>
    <row r="321" ht="18.75" customHeight="1" s="74"/>
    <row r="322" ht="18.75" customHeight="1" s="74"/>
    <row r="323" ht="18.75" customHeight="1" s="74"/>
    <row r="324" ht="18.75" customHeight="1" s="74"/>
    <row r="325" ht="18.75" customHeight="1" s="74"/>
    <row r="326" ht="18.75" customHeight="1" s="74"/>
    <row r="327" ht="18.75" customHeight="1" s="74"/>
    <row r="328" ht="18.75" customHeight="1" s="74"/>
    <row r="329" ht="18.75" customHeight="1" s="74"/>
    <row r="330" ht="18.75" customHeight="1" s="74"/>
    <row r="331" ht="18.75" customHeight="1" s="74"/>
    <row r="332" ht="18.75" customHeight="1" s="74"/>
    <row r="333" ht="18.75" customHeight="1" s="74"/>
    <row r="334" ht="18.75" customHeight="1" s="74"/>
    <row r="335" ht="18.75" customHeight="1" s="74"/>
    <row r="336" ht="18.75" customHeight="1" s="74"/>
    <row r="337" ht="18.75" customHeight="1" s="74"/>
    <row r="338" ht="18.75" customHeight="1" s="74"/>
    <row r="339" ht="18.75" customHeight="1" s="74"/>
    <row r="340" ht="18.75" customHeight="1" s="74"/>
    <row r="341" ht="18.75" customHeight="1" s="74"/>
    <row r="342" ht="18.75" customHeight="1" s="74"/>
    <row r="343" ht="18.75" customHeight="1" s="74"/>
    <row r="344" ht="18.75" customHeight="1" s="74"/>
    <row r="345" ht="18.75" customHeight="1" s="74"/>
    <row r="346" ht="18.75" customHeight="1" s="74"/>
    <row r="347" ht="18.75" customHeight="1" s="74"/>
    <row r="348" ht="18.75" customHeight="1" s="74"/>
    <row r="349" ht="18.75" customHeight="1" s="74"/>
    <row r="350" ht="18.75" customHeight="1" s="74"/>
    <row r="351" ht="18.75" customHeight="1" s="74"/>
    <row r="352" ht="18.75" customHeight="1" s="74"/>
    <row r="353" ht="18.75" customHeight="1" s="74"/>
    <row r="354" ht="18.75" customHeight="1" s="74"/>
    <row r="355" ht="18.75" customHeight="1" s="74"/>
    <row r="356" ht="18.75" customHeight="1" s="74"/>
    <row r="357" ht="18.75" customHeight="1" s="74"/>
    <row r="358" ht="18.75" customHeight="1" s="74"/>
    <row r="359" ht="18.75" customHeight="1" s="74"/>
    <row r="360" ht="18.75" customHeight="1" s="74"/>
    <row r="361" ht="18.75" customHeight="1" s="74"/>
    <row r="362" ht="18.75" customHeight="1" s="74"/>
    <row r="363" ht="18.75" customHeight="1" s="74"/>
    <row r="364" ht="18.75" customHeight="1" s="74"/>
    <row r="365" ht="18.75" customHeight="1" s="74"/>
    <row r="366" ht="18.75" customHeight="1" s="74"/>
    <row r="367" ht="18.75" customHeight="1" s="74"/>
    <row r="368" ht="18.75" customHeight="1" s="74"/>
    <row r="369" ht="18.75" customHeight="1" s="74"/>
    <row r="370" ht="18.75" customHeight="1" s="74"/>
    <row r="371" ht="18.75" customHeight="1" s="74"/>
    <row r="372" ht="18.75" customHeight="1" s="74"/>
    <row r="373" ht="18.75" customHeight="1" s="74"/>
    <row r="374" ht="18.75" customHeight="1" s="74"/>
    <row r="375" ht="18.75" customHeight="1" s="74"/>
    <row r="376" ht="18.75" customHeight="1" s="74"/>
    <row r="377" ht="18.75" customHeight="1" s="74"/>
    <row r="378" ht="18.75" customHeight="1" s="74"/>
    <row r="379" ht="18.75" customHeight="1" s="74"/>
    <row r="380" ht="18.75" customHeight="1" s="74"/>
    <row r="381" ht="18.75" customHeight="1" s="74"/>
    <row r="382" ht="18.75" customHeight="1" s="74"/>
    <row r="383" ht="18.75" customHeight="1" s="74"/>
    <row r="384" ht="18.75" customHeight="1" s="74"/>
    <row r="385" ht="18.75" customHeight="1" s="74"/>
    <row r="386" ht="18.75" customHeight="1" s="74"/>
    <row r="387" ht="18.75" customHeight="1" s="74"/>
    <row r="388" ht="18.75" customHeight="1" s="74"/>
    <row r="389" ht="18.75" customHeight="1" s="74"/>
    <row r="390" ht="18.75" customHeight="1" s="74"/>
    <row r="391" ht="18.75" customHeight="1" s="74"/>
    <row r="392" ht="18.75" customHeight="1" s="74"/>
    <row r="393" ht="18.75" customHeight="1" s="74"/>
    <row r="394" ht="18.75" customHeight="1" s="74"/>
    <row r="395" ht="18.75" customHeight="1" s="74"/>
    <row r="396" ht="18.75" customHeight="1" s="74"/>
    <row r="397" ht="18.75" customHeight="1" s="74"/>
    <row r="398" ht="18.75" customHeight="1" s="74"/>
    <row r="399" ht="18.75" customHeight="1" s="74"/>
    <row r="400" ht="18.75" customHeight="1" s="74"/>
    <row r="401" ht="18.75" customHeight="1" s="74"/>
    <row r="402" ht="18.75" customHeight="1" s="74"/>
    <row r="403" ht="18.75" customHeight="1" s="74"/>
    <row r="404" ht="18.75" customHeight="1" s="74"/>
    <row r="405" ht="18.75" customHeight="1" s="74"/>
    <row r="406" ht="18.75" customHeight="1" s="74"/>
    <row r="407" ht="18.75" customHeight="1" s="74"/>
    <row r="408" ht="18.75" customHeight="1" s="74"/>
    <row r="409" ht="18.75" customHeight="1" s="74"/>
    <row r="410" ht="18.75" customHeight="1" s="74"/>
    <row r="411" ht="18.75" customHeight="1" s="74"/>
    <row r="412" ht="18.75" customHeight="1" s="74"/>
    <row r="413" ht="18.75" customHeight="1" s="74"/>
    <row r="414" ht="18.75" customHeight="1" s="74"/>
    <row r="415" ht="18.75" customHeight="1" s="74"/>
    <row r="416" ht="18.75" customHeight="1" s="74"/>
    <row r="417" ht="18.75" customHeight="1" s="74"/>
    <row r="418" ht="18.75" customHeight="1" s="74"/>
    <row r="419" ht="18.75" customHeight="1" s="74"/>
    <row r="420" ht="18.75" customHeight="1" s="74"/>
    <row r="421" ht="18.75" customHeight="1" s="74"/>
    <row r="422" ht="18.75" customHeight="1" s="74"/>
    <row r="423" ht="18.75" customHeight="1" s="74"/>
    <row r="424" ht="18.75" customHeight="1" s="74"/>
    <row r="425" ht="18.75" customHeight="1" s="74"/>
    <row r="426" ht="18.75" customHeight="1" s="74"/>
    <row r="427" ht="18.75" customHeight="1" s="74"/>
    <row r="428" ht="18.75" customHeight="1" s="74"/>
    <row r="429" ht="18.75" customHeight="1" s="74"/>
    <row r="430" ht="18.75" customHeight="1" s="74"/>
    <row r="431" ht="18.75" customHeight="1" s="74"/>
    <row r="432" ht="18.75" customHeight="1" s="74"/>
    <row r="433" ht="18.75" customHeight="1" s="74"/>
    <row r="434" ht="18.75" customHeight="1" s="74"/>
    <row r="435" ht="18.75" customHeight="1" s="74"/>
    <row r="436" ht="18.75" customHeight="1" s="74"/>
    <row r="437" ht="18.75" customHeight="1" s="74"/>
    <row r="438" ht="18.75" customHeight="1" s="74"/>
    <row r="439" ht="18.75" customHeight="1" s="74"/>
    <row r="440" ht="18.75" customHeight="1" s="74"/>
    <row r="441" ht="18.75" customHeight="1" s="74"/>
    <row r="442" ht="18.75" customHeight="1" s="74"/>
    <row r="443" ht="18.75" customHeight="1" s="74"/>
    <row r="444" ht="18.75" customHeight="1" s="74"/>
    <row r="445" ht="18.75" customHeight="1" s="74"/>
    <row r="446" ht="18.75" customHeight="1" s="74"/>
    <row r="447" ht="18.75" customHeight="1" s="74"/>
    <row r="448" ht="18.75" customHeight="1" s="74"/>
    <row r="449" ht="18.75" customHeight="1" s="74"/>
    <row r="450" ht="18.75" customHeight="1" s="74"/>
    <row r="451" ht="18.75" customHeight="1" s="74"/>
    <row r="452" ht="18.75" customHeight="1" s="74"/>
    <row r="453" ht="18.75" customHeight="1" s="74"/>
    <row r="454" ht="18.75" customHeight="1" s="74"/>
    <row r="455" ht="18.75" customHeight="1" s="74"/>
    <row r="456" ht="18.75" customHeight="1" s="74"/>
    <row r="457" ht="18.75" customHeight="1" s="74"/>
    <row r="458" ht="18.75" customHeight="1" s="74"/>
    <row r="459" ht="18.75" customHeight="1" s="74"/>
    <row r="460" ht="18.75" customHeight="1" s="74"/>
    <row r="461" ht="18.75" customHeight="1" s="74"/>
    <row r="462" ht="18.75" customHeight="1" s="74"/>
    <row r="463" ht="18.75" customHeight="1" s="74"/>
    <row r="464" ht="18.75" customHeight="1" s="74"/>
    <row r="465" ht="18.75" customHeight="1" s="74"/>
    <row r="466" ht="18.75" customHeight="1" s="74"/>
    <row r="467" ht="18.75" customHeight="1" s="74"/>
    <row r="468" ht="18.75" customHeight="1" s="74"/>
    <row r="469" ht="18.75" customHeight="1" s="74"/>
    <row r="470" ht="18.75" customHeight="1" s="74"/>
    <row r="471" ht="18.75" customHeight="1" s="74"/>
    <row r="472" ht="18.75" customHeight="1" s="74"/>
    <row r="473" ht="18.75" customHeight="1" s="74"/>
    <row r="474" ht="18.75" customHeight="1" s="74"/>
    <row r="475" ht="18.75" customHeight="1" s="74"/>
    <row r="476" ht="18.75" customHeight="1" s="74"/>
    <row r="477" ht="18.75" customHeight="1" s="74"/>
    <row r="478" ht="18.75" customHeight="1" s="74"/>
    <row r="479" ht="18.75" customHeight="1" s="74"/>
    <row r="480" ht="18.75" customHeight="1" s="74"/>
    <row r="481" ht="18.75" customHeight="1" s="74"/>
    <row r="482" ht="18.75" customHeight="1" s="74"/>
    <row r="483" ht="18.75" customHeight="1" s="74"/>
    <row r="484" ht="18.75" customHeight="1" s="74"/>
    <row r="485" ht="18.75" customHeight="1" s="74"/>
    <row r="486" ht="18.75" customHeight="1" s="74"/>
    <row r="487" ht="18.75" customHeight="1" s="74"/>
    <row r="488" ht="18.75" customHeight="1" s="74"/>
    <row r="489" ht="18.75" customHeight="1" s="74"/>
    <row r="490" ht="18.75" customHeight="1" s="74"/>
    <row r="491" ht="18.75" customHeight="1" s="74"/>
    <row r="492" ht="18.75" customHeight="1" s="74"/>
    <row r="493" ht="18.75" customHeight="1" s="74"/>
    <row r="494" ht="18.75" customHeight="1" s="74"/>
    <row r="495" ht="18.75" customHeight="1" s="74"/>
    <row r="496" ht="18.75" customHeight="1" s="74"/>
    <row r="497" ht="18.75" customHeight="1" s="74"/>
    <row r="498" ht="18.75" customHeight="1" s="74"/>
    <row r="499" ht="18.75" customHeight="1" s="74"/>
    <row r="500" ht="18.75" customHeight="1" s="74"/>
    <row r="501" ht="18.75" customHeight="1" s="74"/>
    <row r="502" ht="18.75" customHeight="1" s="74"/>
    <row r="503" ht="18.75" customHeight="1" s="74"/>
    <row r="504" ht="18.75" customHeight="1" s="74"/>
    <row r="505" ht="18.75" customHeight="1" s="74"/>
    <row r="506" ht="18.75" customHeight="1" s="74"/>
    <row r="507" ht="18.75" customHeight="1" s="74"/>
    <row r="508" ht="18.75" customHeight="1" s="74"/>
    <row r="509" ht="18.75" customHeight="1" s="74"/>
    <row r="510" ht="18.75" customHeight="1" s="74"/>
    <row r="511" ht="18.75" customHeight="1" s="74"/>
    <row r="512" ht="18.75" customHeight="1" s="74"/>
    <row r="513" ht="18.75" customHeight="1" s="74"/>
    <row r="514" ht="18.75" customHeight="1" s="74"/>
    <row r="515" ht="18.75" customHeight="1" s="74"/>
    <row r="516" ht="18.75" customHeight="1" s="74"/>
    <row r="517" ht="18.75" customHeight="1" s="74"/>
    <row r="518" ht="18.75" customHeight="1" s="74"/>
    <row r="519" ht="18.75" customHeight="1" s="74"/>
    <row r="520" ht="18.75" customHeight="1" s="74"/>
    <row r="521" ht="18.75" customHeight="1" s="74"/>
    <row r="522" ht="18.75" customHeight="1" s="74"/>
    <row r="523" ht="18.75" customHeight="1" s="74"/>
    <row r="524" ht="18.75" customHeight="1" s="74"/>
    <row r="525" ht="18.75" customHeight="1" s="74"/>
    <row r="526" ht="18.75" customHeight="1" s="74"/>
    <row r="527" ht="18.75" customHeight="1" s="74"/>
    <row r="528" ht="18.75" customHeight="1" s="74"/>
    <row r="529" ht="18.75" customHeight="1" s="74"/>
    <row r="530" ht="18.75" customHeight="1" s="74"/>
    <row r="531" ht="18.75" customHeight="1" s="74"/>
    <row r="532" ht="18.75" customHeight="1" s="74"/>
    <row r="533" ht="18.75" customHeight="1" s="74"/>
    <row r="534" ht="18.75" customHeight="1" s="74"/>
    <row r="535" ht="18.75" customHeight="1" s="74"/>
    <row r="536" ht="18.75" customHeight="1" s="74"/>
    <row r="537" ht="18.75" customHeight="1" s="74"/>
    <row r="538" ht="18.75" customHeight="1" s="74"/>
    <row r="539" ht="18.75" customHeight="1" s="74"/>
    <row r="540" ht="18.75" customHeight="1" s="74"/>
    <row r="541" ht="18.75" customHeight="1" s="74"/>
    <row r="542" ht="18.75" customHeight="1" s="74"/>
    <row r="543" ht="18.75" customHeight="1" s="74"/>
    <row r="544" ht="18.75" customHeight="1" s="74"/>
    <row r="545" ht="18.75" customHeight="1" s="74"/>
    <row r="546" ht="18.75" customHeight="1" s="74"/>
    <row r="547" ht="18.75" customHeight="1" s="74"/>
    <row r="548" ht="18.75" customHeight="1" s="74"/>
    <row r="549" ht="18.75" customHeight="1" s="74"/>
    <row r="550" ht="18.75" customHeight="1" s="74"/>
    <row r="551" ht="18.75" customHeight="1" s="74"/>
    <row r="552" ht="18.75" customHeight="1" s="74"/>
    <row r="553" ht="18.75" customHeight="1" s="74"/>
    <row r="554" ht="18.75" customHeight="1" s="74"/>
    <row r="555" ht="18.75" customHeight="1" s="74"/>
    <row r="556" ht="18.75" customHeight="1" s="74"/>
    <row r="557" ht="18.75" customHeight="1" s="74"/>
    <row r="558" ht="18.75" customHeight="1" s="74"/>
    <row r="559" ht="18.75" customHeight="1" s="74"/>
    <row r="560" ht="18.75" customHeight="1" s="74"/>
    <row r="561" ht="18.75" customHeight="1" s="74"/>
    <row r="562" ht="18.75" customHeight="1" s="74"/>
    <row r="563" ht="18.75" customHeight="1" s="74"/>
    <row r="564" ht="18.75" customHeight="1" s="74"/>
    <row r="565" ht="18.75" customHeight="1" s="74"/>
    <row r="566" ht="18.75" customHeight="1" s="74"/>
    <row r="567" ht="18.75" customHeight="1" s="74"/>
    <row r="568" ht="18.75" customHeight="1" s="74"/>
    <row r="569" ht="18.75" customHeight="1" s="74"/>
    <row r="570" ht="18.75" customHeight="1" s="74"/>
    <row r="571" ht="18.75" customHeight="1" s="74"/>
    <row r="572" ht="18.75" customHeight="1" s="74"/>
    <row r="573" ht="18.75" customHeight="1" s="74"/>
    <row r="574" ht="18.75" customHeight="1" s="74"/>
    <row r="575" ht="18.75" customHeight="1" s="74"/>
    <row r="576" ht="18.75" customHeight="1" s="74"/>
    <row r="577" ht="18.75" customHeight="1" s="74"/>
    <row r="578" ht="18.75" customHeight="1" s="74"/>
    <row r="579" ht="18.75" customHeight="1" s="74"/>
    <row r="580" ht="18.75" customHeight="1" s="74"/>
    <row r="581" ht="18.75" customHeight="1" s="74"/>
    <row r="582" ht="18.75" customHeight="1" s="74"/>
    <row r="583" ht="18.75" customHeight="1" s="74"/>
    <row r="584" ht="18.75" customHeight="1" s="74"/>
    <row r="585" ht="18.75" customHeight="1" s="74"/>
    <row r="586" ht="18.75" customHeight="1" s="74"/>
    <row r="587" ht="18.75" customHeight="1" s="74"/>
    <row r="588" ht="18.75" customHeight="1" s="74"/>
    <row r="589" ht="18.75" customHeight="1" s="74"/>
    <row r="590" ht="18.75" customHeight="1" s="74"/>
    <row r="591" ht="18.75" customHeight="1" s="74"/>
    <row r="592" ht="18.75" customHeight="1" s="74"/>
    <row r="593" ht="18.75" customHeight="1" s="74"/>
    <row r="594" ht="18.75" customHeight="1" s="74"/>
    <row r="595" ht="18.75" customHeight="1" s="74"/>
    <row r="596" ht="18.75" customHeight="1" s="74"/>
    <row r="597" ht="18.75" customHeight="1" s="74"/>
    <row r="598" ht="18.75" customHeight="1" s="74"/>
    <row r="599" ht="18.75" customHeight="1" s="74"/>
    <row r="600" ht="18.75" customHeight="1" s="74"/>
    <row r="601" ht="18.75" customHeight="1" s="74"/>
    <row r="602" ht="18.75" customHeight="1" s="74"/>
    <row r="603" ht="18.75" customHeight="1" s="74"/>
    <row r="604" ht="18.75" customHeight="1" s="74"/>
    <row r="605" ht="18.75" customHeight="1" s="74"/>
    <row r="606" ht="18.75" customHeight="1" s="74"/>
    <row r="607" ht="18.75" customHeight="1" s="74"/>
    <row r="608" ht="18.75" customHeight="1" s="74"/>
    <row r="609" ht="18.75" customHeight="1" s="74"/>
    <row r="610" ht="18.75" customHeight="1" s="74"/>
    <row r="611" ht="18.75" customHeight="1" s="74"/>
    <row r="612" ht="18.75" customHeight="1" s="74"/>
    <row r="613" ht="18.75" customHeight="1" s="74"/>
    <row r="614" ht="18.75" customHeight="1" s="74"/>
    <row r="615" ht="18.75" customHeight="1" s="74"/>
    <row r="616" ht="18.75" customHeight="1" s="74"/>
    <row r="617" ht="18.75" customHeight="1" s="74"/>
    <row r="618" ht="18.75" customHeight="1" s="74"/>
    <row r="619" ht="18.75" customHeight="1" s="74"/>
    <row r="620" ht="18.75" customHeight="1" s="74"/>
    <row r="621" ht="18.75" customHeight="1" s="74"/>
    <row r="622" ht="18.75" customHeight="1" s="74"/>
    <row r="623" ht="18.75" customHeight="1" s="74"/>
    <row r="624" ht="18.75" customHeight="1" s="74"/>
    <row r="625" ht="18.75" customHeight="1" s="74"/>
    <row r="626" ht="18.75" customHeight="1" s="74"/>
    <row r="627" ht="18.75" customHeight="1" s="74"/>
    <row r="628" ht="18.75" customHeight="1" s="74"/>
    <row r="629" ht="18.75" customHeight="1" s="74"/>
    <row r="630" ht="18.75" customHeight="1" s="74"/>
    <row r="631" ht="18.75" customHeight="1" s="74"/>
    <row r="632" ht="18.75" customHeight="1" s="74"/>
    <row r="633" ht="18.75" customHeight="1" s="74"/>
    <row r="634" ht="18.75" customHeight="1" s="74"/>
    <row r="635" ht="18.75" customHeight="1" s="74"/>
    <row r="636" ht="18.75" customHeight="1" s="74"/>
    <row r="637" ht="18.75" customHeight="1" s="74"/>
    <row r="638" ht="18.75" customHeight="1" s="74"/>
    <row r="639" ht="18.75" customHeight="1" s="74"/>
    <row r="640" ht="18.75" customHeight="1" s="74"/>
    <row r="641" ht="18.75" customHeight="1" s="74"/>
    <row r="642" ht="18.75" customHeight="1" s="74"/>
    <row r="643" ht="18.75" customHeight="1" s="74"/>
    <row r="644" ht="18.75" customHeight="1" s="74"/>
    <row r="645" ht="18.75" customHeight="1" s="74"/>
    <row r="646" ht="18.75" customHeight="1" s="74"/>
    <row r="647" ht="18.75" customHeight="1" s="74"/>
    <row r="648" ht="18.75" customHeight="1" s="74"/>
    <row r="649" ht="18.75" customHeight="1" s="74"/>
    <row r="650" ht="18.75" customHeight="1" s="74"/>
    <row r="651" ht="18.75" customHeight="1" s="74"/>
    <row r="652" ht="18.75" customHeight="1" s="74"/>
    <row r="653" ht="18.75" customHeight="1" s="74"/>
    <row r="654" ht="18.75" customHeight="1" s="74"/>
    <row r="655" ht="18.75" customHeight="1" s="74"/>
    <row r="656" ht="18.75" customHeight="1" s="74"/>
    <row r="657" ht="18.75" customHeight="1" s="74"/>
    <row r="658" ht="18.75" customHeight="1" s="74"/>
    <row r="659" ht="18.75" customHeight="1" s="74"/>
    <row r="660" ht="18.75" customHeight="1" s="74"/>
    <row r="661" ht="18.75" customHeight="1" s="74"/>
    <row r="662" ht="18.75" customHeight="1" s="74"/>
    <row r="663" ht="18.75" customHeight="1" s="74"/>
    <row r="664" ht="18.75" customHeight="1" s="74"/>
    <row r="665" ht="18.75" customHeight="1" s="74"/>
    <row r="666" ht="18.75" customHeight="1" s="74"/>
    <row r="667" ht="18.75" customHeight="1" s="74"/>
    <row r="668" ht="18.75" customHeight="1" s="74"/>
    <row r="669" ht="18.75" customHeight="1" s="74"/>
    <row r="670" ht="18.75" customHeight="1" s="74"/>
    <row r="671" ht="18.75" customHeight="1" s="74"/>
    <row r="672" ht="18.75" customHeight="1" s="74"/>
    <row r="673" ht="18.75" customHeight="1" s="74"/>
    <row r="674" ht="18.75" customHeight="1" s="74"/>
    <row r="675" ht="18.75" customHeight="1" s="74"/>
    <row r="676" ht="18.75" customHeight="1" s="74"/>
    <row r="677" ht="18.75" customHeight="1" s="74"/>
    <row r="678" ht="18.75" customHeight="1" s="74"/>
    <row r="679" ht="18.75" customHeight="1" s="74"/>
    <row r="680" ht="18.75" customHeight="1" s="74"/>
    <row r="681" ht="18.75" customHeight="1" s="74"/>
    <row r="682" ht="18.75" customHeight="1" s="74"/>
    <row r="683" ht="18.75" customHeight="1" s="74"/>
    <row r="684" ht="18.75" customHeight="1" s="74"/>
    <row r="685" ht="18.75" customHeight="1" s="74"/>
    <row r="686" ht="18.75" customHeight="1" s="74"/>
    <row r="687" ht="18.75" customHeight="1" s="74"/>
    <row r="688" ht="18.75" customHeight="1" s="74"/>
    <row r="689" ht="18.75" customHeight="1" s="74"/>
    <row r="690" ht="18.75" customHeight="1" s="74"/>
    <row r="691" ht="18.75" customHeight="1" s="74"/>
    <row r="692" ht="18.75" customHeight="1" s="74"/>
    <row r="693" ht="18.75" customHeight="1" s="74"/>
    <row r="694" ht="18.75" customHeight="1" s="74"/>
    <row r="695" ht="18.75" customHeight="1" s="74"/>
    <row r="696" ht="18.75" customHeight="1" s="74"/>
    <row r="697" ht="18.75" customHeight="1" s="74"/>
    <row r="698" ht="18.75" customHeight="1" s="74"/>
    <row r="699" ht="18.75" customHeight="1" s="74"/>
    <row r="700" ht="18.75" customHeight="1" s="74"/>
    <row r="701" ht="18.75" customHeight="1" s="74"/>
    <row r="702" ht="18.75" customHeight="1" s="74"/>
    <row r="703" ht="18.75" customHeight="1" s="74"/>
    <row r="704" ht="18.75" customHeight="1" s="74"/>
    <row r="705" ht="18.75" customHeight="1" s="74"/>
    <row r="706" ht="18.75" customHeight="1" s="74"/>
    <row r="707" ht="18.75" customHeight="1" s="74"/>
    <row r="708" ht="18.75" customHeight="1" s="74"/>
    <row r="709" ht="18.75" customHeight="1" s="74"/>
    <row r="710" ht="18.75" customHeight="1" s="74"/>
    <row r="711" ht="18.75" customHeight="1" s="74"/>
    <row r="712" ht="18.75" customHeight="1" s="74"/>
    <row r="713" ht="18.75" customHeight="1" s="74"/>
    <row r="714" ht="18.75" customHeight="1" s="74"/>
    <row r="715" ht="18.75" customHeight="1" s="74"/>
    <row r="716" ht="18.75" customHeight="1" s="74"/>
    <row r="717" ht="18.75" customHeight="1" s="74"/>
    <row r="718" ht="18.75" customHeight="1" s="74"/>
    <row r="719" ht="18.75" customHeight="1" s="74"/>
    <row r="720" ht="18.75" customHeight="1" s="74"/>
    <row r="721" ht="18.75" customHeight="1" s="74"/>
    <row r="722" ht="18.75" customHeight="1" s="74"/>
    <row r="723" ht="18.75" customHeight="1" s="74"/>
    <row r="724" ht="18.75" customHeight="1" s="74"/>
    <row r="725" ht="18.75" customHeight="1" s="74"/>
    <row r="726" ht="18.75" customHeight="1" s="74"/>
    <row r="727" ht="18.75" customHeight="1" s="74"/>
    <row r="728" ht="18.75" customHeight="1" s="74"/>
    <row r="729" ht="18.75" customHeight="1" s="74"/>
    <row r="730" ht="18.75" customHeight="1" s="74"/>
    <row r="731" ht="18.75" customHeight="1" s="74"/>
    <row r="732" ht="18.75" customHeight="1" s="74"/>
    <row r="733" ht="18.75" customHeight="1" s="74"/>
    <row r="734" ht="18.75" customHeight="1" s="74"/>
    <row r="735" ht="18.75" customHeight="1" s="74"/>
    <row r="736" ht="18.75" customHeight="1" s="74"/>
    <row r="737" ht="18.75" customHeight="1" s="74"/>
    <row r="738" ht="18.75" customHeight="1" s="74"/>
    <row r="739" ht="18.75" customHeight="1" s="74"/>
    <row r="740" ht="18.75" customHeight="1" s="74"/>
    <row r="741" ht="18.75" customHeight="1" s="74"/>
    <row r="742" ht="18.75" customHeight="1" s="74"/>
    <row r="743" ht="18.75" customHeight="1" s="74"/>
    <row r="744" ht="18.75" customHeight="1" s="74"/>
    <row r="745" ht="18.75" customHeight="1" s="74"/>
    <row r="746" ht="18.75" customHeight="1" s="74"/>
    <row r="747" ht="18.75" customHeight="1" s="74"/>
    <row r="748" ht="18.75" customHeight="1" s="74"/>
    <row r="749" ht="18.75" customHeight="1" s="74"/>
    <row r="750" ht="18.75" customHeight="1" s="74"/>
    <row r="751" ht="18.75" customHeight="1" s="74"/>
    <row r="752" ht="18.75" customHeight="1" s="74"/>
    <row r="753" ht="18.75" customHeight="1" s="74"/>
    <row r="754" ht="18.75" customHeight="1" s="74"/>
    <row r="755" ht="18.75" customHeight="1" s="74"/>
    <row r="756" ht="18.75" customHeight="1" s="74"/>
    <row r="757" ht="18.75" customHeight="1" s="74"/>
    <row r="758" ht="18.75" customHeight="1" s="74"/>
    <row r="759" ht="18.75" customHeight="1" s="74"/>
    <row r="760" ht="18.75" customHeight="1" s="74"/>
    <row r="761" ht="18.75" customHeight="1" s="74"/>
    <row r="762" ht="18.75" customHeight="1" s="74"/>
    <row r="763" ht="18.75" customHeight="1" s="74"/>
    <row r="764" ht="18.75" customHeight="1" s="74"/>
    <row r="765" ht="18.75" customHeight="1" s="74"/>
    <row r="766" ht="18.75" customHeight="1" s="74"/>
    <row r="767" ht="18.75" customHeight="1" s="74"/>
    <row r="768" ht="18.75" customHeight="1" s="74"/>
    <row r="769" ht="18.75" customHeight="1" s="74"/>
    <row r="770" ht="18.75" customHeight="1" s="74"/>
    <row r="771" ht="18.75" customHeight="1" s="74"/>
    <row r="772" ht="18.75" customHeight="1" s="74"/>
    <row r="773" ht="18.75" customHeight="1" s="74"/>
    <row r="774" ht="18.75" customHeight="1" s="74"/>
    <row r="775" ht="18.75" customHeight="1" s="74"/>
    <row r="776" ht="18.75" customHeight="1" s="74"/>
    <row r="777" ht="18.75" customHeight="1" s="74"/>
    <row r="778" ht="18.75" customHeight="1" s="74"/>
    <row r="779" ht="18.75" customHeight="1" s="74"/>
    <row r="780" ht="18.75" customHeight="1" s="74"/>
    <row r="781" ht="18.75" customHeight="1" s="74"/>
    <row r="782" ht="18.75" customHeight="1" s="74"/>
    <row r="783" ht="18.75" customHeight="1" s="74"/>
    <row r="784" ht="18.75" customHeight="1" s="74"/>
    <row r="785" ht="18.75" customHeight="1" s="74"/>
    <row r="786" ht="18.75" customHeight="1" s="74"/>
    <row r="787" ht="18.75" customHeight="1" s="74"/>
    <row r="788" ht="18.75" customHeight="1" s="74"/>
    <row r="789" ht="18.75" customHeight="1" s="74"/>
    <row r="790" ht="18.75" customHeight="1" s="74"/>
    <row r="791" ht="18.75" customHeight="1" s="74"/>
    <row r="792" ht="18.75" customHeight="1" s="74"/>
    <row r="793" ht="18.75" customHeight="1" s="74"/>
    <row r="794" ht="18.75" customHeight="1" s="74"/>
    <row r="795" ht="18.75" customHeight="1" s="74"/>
    <row r="796" ht="18.75" customHeight="1" s="74"/>
    <row r="797" ht="18.75" customHeight="1" s="74"/>
    <row r="798" ht="18.75" customHeight="1" s="74"/>
    <row r="799" ht="18.75" customHeight="1" s="74"/>
    <row r="800" ht="18.75" customHeight="1" s="74"/>
    <row r="801" ht="18.75" customHeight="1" s="74"/>
    <row r="802" ht="18.75" customHeight="1" s="74"/>
    <row r="803" ht="18.75" customHeight="1" s="74"/>
    <row r="804" ht="18.75" customHeight="1" s="74"/>
    <row r="805" ht="18.75" customHeight="1" s="74"/>
    <row r="806" ht="18.75" customHeight="1" s="74"/>
    <row r="807" ht="18.75" customHeight="1" s="74"/>
    <row r="808" ht="18.75" customHeight="1" s="74"/>
    <row r="809" ht="18.75" customHeight="1" s="74"/>
    <row r="810" ht="18.75" customHeight="1" s="74"/>
    <row r="811" ht="18.75" customHeight="1" s="74"/>
    <row r="812" ht="18.75" customHeight="1" s="74"/>
    <row r="813" ht="18.75" customHeight="1" s="74"/>
    <row r="814" ht="18.75" customHeight="1" s="74"/>
  </sheetData>
  <mergeCells count="6">
    <mergeCell ref="B2:N5"/>
    <mergeCell ref="C7:D7"/>
    <mergeCell ref="C10:D10"/>
    <mergeCell ref="C11:D11"/>
    <mergeCell ref="C9:D9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</dc:creator>
  <dcterms:created xmlns:dcterms="http://purl.org/dc/terms/" xmlns:xsi="http://www.w3.org/2001/XMLSchema-instance" xsi:type="dcterms:W3CDTF">2021-11-16T03:58:25Z</dcterms:created>
  <dcterms:modified xmlns:dcterms="http://purl.org/dc/terms/" xmlns:xsi="http://www.w3.org/2001/XMLSchema-instance" xsi:type="dcterms:W3CDTF">2026-09-07T02:27:29Z</dcterms:modified>
  <cp:lastModifiedBy>광은 김</cp:lastModifiedBy>
</cp:coreProperties>
</file>