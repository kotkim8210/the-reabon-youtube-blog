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\0.소싱관리\"/>
    </mc:Choice>
  </mc:AlternateContent>
  <xr:revisionPtr revIDLastSave="0" documentId="13_ncr:1_{30F2A75F-2084-46C1-BF67-BEF17F5FB3A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제이비티" sheetId="2" r:id="rId1"/>
    <sheet name="쥬얼리프룻(비쌈)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0" l="1"/>
  <c r="G11" i="10"/>
  <c r="P11" i="10" s="1"/>
  <c r="N10" i="10"/>
  <c r="G10" i="10"/>
  <c r="P10" i="10" s="1"/>
  <c r="N9" i="10"/>
  <c r="G9" i="10"/>
  <c r="N8" i="10"/>
  <c r="G8" i="10"/>
  <c r="P8" i="10" s="1"/>
  <c r="G8" i="2"/>
  <c r="G9" i="2"/>
  <c r="T8" i="10" l="1"/>
  <c r="Q8" i="10"/>
  <c r="R8" i="10" s="1"/>
  <c r="S8" i="10" s="1"/>
  <c r="U8" i="10" s="1"/>
  <c r="V8" i="10" s="1"/>
  <c r="T11" i="10"/>
  <c r="Q10" i="10"/>
  <c r="R10" i="10" s="1"/>
  <c r="S10" i="10" s="1"/>
  <c r="Q11" i="10"/>
  <c r="T10" i="10"/>
  <c r="P9" i="10"/>
  <c r="T9" i="10"/>
  <c r="R11" i="10"/>
  <c r="S11" i="10" s="1"/>
  <c r="N9" i="2"/>
  <c r="N10" i="2"/>
  <c r="N11" i="2"/>
  <c r="N12" i="2"/>
  <c r="N13" i="2"/>
  <c r="N14" i="2"/>
  <c r="N15" i="2"/>
  <c r="N16" i="2"/>
  <c r="N8" i="2"/>
  <c r="G12" i="2"/>
  <c r="G11" i="2"/>
  <c r="G10" i="2"/>
  <c r="P10" i="2" s="1"/>
  <c r="Q10" i="2" s="1"/>
  <c r="P11" i="2"/>
  <c r="T11" i="2"/>
  <c r="G13" i="2"/>
  <c r="T9" i="2"/>
  <c r="T14" i="2"/>
  <c r="G15" i="2"/>
  <c r="P15" i="2" s="1"/>
  <c r="G16" i="2"/>
  <c r="T16" i="2" s="1"/>
  <c r="U11" i="10" l="1"/>
  <c r="V11" i="10" s="1"/>
  <c r="U10" i="10"/>
  <c r="V10" i="10" s="1"/>
  <c r="Q9" i="10"/>
  <c r="R9" i="10" s="1"/>
  <c r="S9" i="10" s="1"/>
  <c r="U9" i="10" s="1"/>
  <c r="V9" i="10" s="1"/>
  <c r="T10" i="2"/>
  <c r="Q11" i="2"/>
  <c r="R11" i="2" s="1"/>
  <c r="S11" i="2" s="1"/>
  <c r="P12" i="2"/>
  <c r="T12" i="2"/>
  <c r="R10" i="2"/>
  <c r="S10" i="2" s="1"/>
  <c r="U10" i="2" s="1"/>
  <c r="V10" i="2" s="1"/>
  <c r="T13" i="2"/>
  <c r="P13" i="2"/>
  <c r="Q15" i="2"/>
  <c r="R15" i="2" s="1"/>
  <c r="S15" i="2" s="1"/>
  <c r="T15" i="2"/>
  <c r="P9" i="2"/>
  <c r="Q9" i="2" s="1"/>
  <c r="R9" i="2" s="1"/>
  <c r="S9" i="2" s="1"/>
  <c r="U9" i="2" s="1"/>
  <c r="V9" i="2" s="1"/>
  <c r="P8" i="2"/>
  <c r="T8" i="2"/>
  <c r="P16" i="2"/>
  <c r="Q16" i="2" s="1"/>
  <c r="P14" i="2"/>
  <c r="Q14" i="2" s="1"/>
  <c r="U11" i="2" l="1"/>
  <c r="V11" i="2" s="1"/>
  <c r="Q12" i="2"/>
  <c r="Q13" i="2"/>
  <c r="R13" i="2" s="1"/>
  <c r="S13" i="2" s="1"/>
  <c r="U13" i="2" s="1"/>
  <c r="V13" i="2" s="1"/>
  <c r="U15" i="2"/>
  <c r="V15" i="2" s="1"/>
  <c r="R16" i="2"/>
  <c r="S16" i="2" s="1"/>
  <c r="U16" i="2" s="1"/>
  <c r="V16" i="2" s="1"/>
  <c r="Q8" i="2"/>
  <c r="R8" i="2" s="1"/>
  <c r="S8" i="2" s="1"/>
  <c r="U8" i="2" s="1"/>
  <c r="V8" i="2" s="1"/>
  <c r="R14" i="2"/>
  <c r="S14" i="2" s="1"/>
  <c r="U14" i="2" s="1"/>
  <c r="V14" i="2" s="1"/>
  <c r="R12" i="2" l="1"/>
  <c r="S12" i="2" s="1"/>
  <c r="U12" i="2" s="1"/>
  <c r="V12" i="2" s="1"/>
</calcChain>
</file>

<file path=xl/sharedStrings.xml><?xml version="1.0" encoding="utf-8"?>
<sst xmlns="http://schemas.openxmlformats.org/spreadsheetml/2006/main" count="126" uniqueCount="59">
  <si>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</si>
  <si>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</si>
  <si>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</si>
  <si>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</si>
  <si>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</si>
  <si>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</si>
  <si>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</si>
  <si>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</si>
  <si>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</si>
  <si>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</si>
  <si>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</si>
  <si>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</si>
  <si>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</si>
  <si>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</si>
  <si>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</si>
  <si>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</si>
  <si>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</si>
  <si>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</si>
  <si>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</si>
  <si>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</si>
  <si>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</si>
  <si>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t>발주마감시간 : 오전10시20분까지</t>
  </si>
  <si>
    <t>공급가(vip)</t>
    <phoneticPr fontId="1" type="noConversion"/>
  </si>
  <si>
    <t>https://www.coupang.com/vp/products/9423243138?itemId=28009088563&amp;vendorItemId=94976064089&amp;q=%EC%84%B1%EC%A3%BC%EC%B0%B8%EC%99%B8&amp;searchId=d3882dfa7011382&amp;sourceType=search&amp;itemsCount=36&amp;searchRank=2&amp;rank=2&amp;traceId=mmqa4it7</t>
    <phoneticPr fontId="1" type="noConversion"/>
  </si>
  <si>
    <t>https://www.coupang.com/vp/products/9422634298?itemId=28006735858&amp;vendorItemId=94964161682&amp;q=%EC%84%B1%EC%A3%BC%EC%B0%B8%EC%99%B8&amp;searchId=d3882dfa7011382&amp;sourceType=search&amp;itemsCount=36&amp;searchRank=4&amp;rank=4&amp;traceId=mmqa519u</t>
    <phoneticPr fontId="1" type="noConversion"/>
  </si>
  <si>
    <t>https://www.coupang.com/vp/products/9401659279?itemId=27926710611&amp;vendorItemId=94853905257&amp;q=%EC%84%B1%EC%A3%BC%EC%B0%B8%EC%99%B8&amp;searchId=d3882dfa7011382&amp;sourceType=search&amp;itemsCount=36&amp;searchRank=1&amp;rank=1&amp;traceId=mmqa6g7u</t>
    <phoneticPr fontId="1" type="noConversion"/>
  </si>
  <si>
    <t>https://www.coupang.com/vp/products/9363643897?itemId=27784647194&amp;vendorItemId=94744938771&amp;q=%EC%84%B1%EC%A3%BC%EC%B0%B8%EC%99%B8&amp;searchId=d3882dfa7011382&amp;sourceType=search&amp;itemsCount=36&amp;searchRank=11&amp;rank=11&amp;traceId=mmqagmme</t>
    <phoneticPr fontId="1" type="noConversion"/>
  </si>
  <si>
    <t>경쟁사1</t>
    <phoneticPr fontId="1" type="noConversion"/>
  </si>
  <si>
    <t>경쟁사2</t>
    <phoneticPr fontId="1" type="noConversion"/>
  </si>
  <si>
    <t>무료배송</t>
  </si>
  <si>
    <t>두릅</t>
  </si>
  <si>
    <t>남해땅두릅(특품)500g</t>
  </si>
  <si>
    <t>시즌오픈</t>
  </si>
  <si>
    <t>3/30일(월)
부터</t>
  </si>
  <si>
    <t>국내산
(남해)</t>
  </si>
  <si>
    <t>한진
cj대한통운
롯데
로젠</t>
  </si>
  <si>
    <t>남해땅두릅(특품)1kg</t>
  </si>
  <si>
    <t>남해땅두릅(특품)2kg</t>
  </si>
  <si>
    <t>남해땅두릅(장아찌용)500g</t>
  </si>
  <si>
    <t>남해땅두릅(장아찌용)1kg</t>
  </si>
  <si>
    <t>남해땅두릅(장아찌용)2kg</t>
  </si>
  <si>
    <t>남해땅두릅(튀김용)500g</t>
  </si>
  <si>
    <t>남해땅두릅(튀김용)1kg</t>
  </si>
  <si>
    <t>남해땅두릅(튀김용)2kg</t>
  </si>
  <si>
    <t>#무게 : 실중량
#구분내용
-특품 : 길이 25cm내외 / 두께 1.5cm내외
-장아찌용 : 길이 20cm내외 / 두께 0.5cm내외
-튀김용 : 길이 30cm내외 / 두께 1.5cm내외</t>
    <phoneticPr fontId="1" type="noConversion"/>
  </si>
  <si>
    <t>자율</t>
  </si>
  <si>
    <t>비과세</t>
  </si>
  <si>
    <r>
      <rPr>
        <u/>
        <sz val="11"/>
        <color theme="10"/>
        <rFont val="Calibri"/>
        <family val="3"/>
        <charset val="129"/>
        <scheme val="minor"/>
      </rPr>
      <t>무료</t>
    </r>
  </si>
  <si>
    <r>
      <t>[</t>
    </r>
    <r>
      <rPr>
        <u/>
        <sz val="11"/>
        <color theme="10"/>
        <rFont val="Calibri"/>
        <family val="3"/>
        <charset val="129"/>
        <scheme val="minor"/>
      </rPr>
      <t>자세히보기</t>
    </r>
    <r>
      <rPr>
        <u/>
        <sz val="11"/>
        <color theme="10"/>
        <rFont val="Calibri"/>
        <family val="2"/>
        <scheme val="minor"/>
      </rPr>
      <t>]</t>
    </r>
  </si>
  <si>
    <r>
      <t>[</t>
    </r>
    <r>
      <rPr>
        <u/>
        <sz val="11"/>
        <color theme="10"/>
        <rFont val="Calibri"/>
        <family val="3"/>
        <charset val="129"/>
        <scheme val="minor"/>
      </rPr>
      <t>자세히보기</t>
    </r>
  </si>
  <si>
    <t>땅두릅 2kg</t>
    <phoneticPr fontId="1" type="noConversion"/>
  </si>
  <si>
    <t>땅두릅 1kg</t>
    <phoneticPr fontId="1" type="noConversion"/>
  </si>
  <si>
    <t>땅두릅 500g</t>
    <phoneticPr fontId="1" type="noConversion"/>
  </si>
  <si>
    <t>땅두릅 300g</t>
    <phoneticPr fontId="1" type="noConversion"/>
  </si>
  <si>
    <t xml:space="preserve"> </t>
    <phoneticPr fontId="1" type="noConversion"/>
  </si>
  <si>
    <r>
      <rPr>
        <sz val="14"/>
        <color theme="1"/>
        <rFont val="맑은 고딕"/>
        <family val="3"/>
        <charset val="129"/>
      </rPr>
      <t>남해땅두릅</t>
    </r>
    <r>
      <rPr>
        <sz val="14"/>
        <color theme="1"/>
        <rFont val="Arial"/>
        <family val="2"/>
      </rPr>
      <t>(</t>
    </r>
    <r>
      <rPr>
        <sz val="14"/>
        <color theme="1"/>
        <rFont val="맑은 고딕"/>
        <family val="3"/>
        <charset val="129"/>
      </rPr>
      <t>튀김용</t>
    </r>
    <r>
      <rPr>
        <sz val="14"/>
        <color theme="1"/>
        <rFont val="Arial"/>
        <family val="2"/>
      </rPr>
      <t>)500g</t>
    </r>
    <phoneticPr fontId="1" type="noConversion"/>
  </si>
  <si>
    <t>500g 1박스</t>
    <phoneticPr fontId="1" type="noConversion"/>
  </si>
  <si>
    <t>1kg 1박스</t>
  </si>
  <si>
    <r>
      <rPr>
        <sz val="14"/>
        <color theme="1"/>
        <rFont val="Arial"/>
        <family val="3"/>
      </rPr>
      <t>2kg 1</t>
    </r>
    <r>
      <rPr>
        <sz val="14"/>
        <color theme="1"/>
        <rFont val="맑은 고딕"/>
        <family val="3"/>
        <charset val="129"/>
      </rPr>
      <t>박스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</si>
</sst>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₩&quot;#,##0;[Red]\-&quot;₩&quot;#,##0"/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32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8"/>
      <color rgb="FFFF0000"/>
      <name val="LG Smart UI SemiBold"/>
      <family val="3"/>
      <charset val="129"/>
    </font>
    <font>
      <sz val="9"/>
      <color theme="1"/>
      <name val="Malgun Gothic"/>
      <family val="3"/>
      <charset val="129"/>
    </font>
    <font>
      <sz val="15"/>
      <color theme="1"/>
      <name val="Arial"/>
      <family val="2"/>
    </font>
    <font>
      <sz val="11"/>
      <color rgb="FF7030A0"/>
      <name val="Arial"/>
      <family val="2"/>
    </font>
    <font>
      <sz val="12"/>
      <color theme="1"/>
      <name val="Arial"/>
      <family val="2"/>
    </font>
    <font>
      <sz val="9"/>
      <color rgb="FF666666"/>
      <name val="Noto Sans KR"/>
      <family val="3"/>
      <charset val="129"/>
    </font>
    <font>
      <b/>
      <sz val="9"/>
      <color rgb="FF000000"/>
      <name val="Noto Sans KR"/>
      <family val="3"/>
      <charset val="129"/>
    </font>
    <font>
      <u/>
      <sz val="11"/>
      <color theme="10"/>
      <name val="Calibri"/>
      <family val="3"/>
      <charset val="129"/>
      <scheme val="minor"/>
    </font>
    <font>
      <sz val="14"/>
      <color theme="1"/>
      <name val="Arial"/>
      <family val="2"/>
    </font>
    <font>
      <sz val="14"/>
      <color theme="1"/>
      <name val="맑은 고딕"/>
      <family val="3"/>
      <charset val="129"/>
    </font>
    <font>
      <sz val="14"/>
      <color theme="1"/>
      <name val="Arial"/>
      <family val="3"/>
      <charset val="129"/>
    </font>
    <font>
      <sz val="12"/>
      <color rgb="FF4D4D4D"/>
      <name val="Arial"/>
      <family val="2"/>
    </font>
    <font>
      <sz val="14"/>
      <color theme="1"/>
      <name val="Arial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D3D6DA"/>
      </right>
      <top/>
      <bottom style="medium">
        <color rgb="FFD3D6DA"/>
      </bottom>
      <diagonal/>
    </border>
    <border>
      <left/>
      <right style="medium">
        <color rgb="FFD3D6DA"/>
      </right>
      <top/>
      <bottom/>
      <diagonal/>
    </border>
    <border>
      <left style="medium">
        <color rgb="FFD3D6DA"/>
      </left>
      <right style="medium">
        <color rgb="FFD3D6DA"/>
      </right>
      <top/>
      <bottom style="medium">
        <color rgb="FFD3D6DA"/>
      </bottom>
      <diagonal/>
    </border>
    <border>
      <left style="medium">
        <color rgb="FFD3D6DA"/>
      </left>
      <right style="medium">
        <color rgb="FFD3D6DA"/>
      </right>
      <top/>
      <bottom/>
      <diagonal/>
    </border>
    <border>
      <left style="medium">
        <color rgb="FFD3D6DA"/>
      </left>
      <right/>
      <top/>
      <bottom style="medium">
        <color rgb="FFD3D6DA"/>
      </bottom>
      <diagonal/>
    </border>
    <border>
      <left style="medium">
        <color rgb="FFD3D6DA"/>
      </left>
      <right/>
      <top/>
      <bottom/>
      <diagonal/>
    </border>
    <border>
      <left/>
      <right style="medium">
        <color rgb="FFD3D6DA"/>
      </right>
      <top style="medium">
        <color rgb="FFD3D6DA"/>
      </top>
      <bottom/>
      <diagonal/>
    </border>
    <border>
      <left style="medium">
        <color rgb="FFD3D6DA"/>
      </left>
      <right style="medium">
        <color rgb="FFD3D6DA"/>
      </right>
      <top style="medium">
        <color rgb="FFD3D6DA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</cellStyleXfs>
  <cellXfs count="152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vertical="center"/>
    </xf>
    <xf numFmtId="3" fontId="16" fillId="12" borderId="21" xfId="0" applyNumberFormat="1" applyFont="1" applyFill="1" applyBorder="1" applyAlignment="1">
      <alignment horizontal="center" vertical="center" wrapText="1"/>
    </xf>
    <xf numFmtId="3" fontId="16" fillId="12" borderId="23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3" fillId="2" borderId="9" xfId="1" applyFill="1" applyBorder="1" applyAlignment="1">
      <alignment horizontal="center" vertical="center" shrinkToFit="1"/>
    </xf>
    <xf numFmtId="0" fontId="3" fillId="13" borderId="9" xfId="1" applyFill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wrapText="1"/>
    </xf>
    <xf numFmtId="3" fontId="16" fillId="11" borderId="21" xfId="0" applyNumberFormat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3" fontId="16" fillId="11" borderId="23" xfId="0" applyNumberFormat="1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21" fillId="0" borderId="20" xfId="0" applyFont="1" applyBorder="1" applyAlignment="1">
      <alignment vertical="center" wrapText="1"/>
    </xf>
    <xf numFmtId="0" fontId="21" fillId="0" borderId="22" xfId="0" applyFont="1" applyBorder="1" applyAlignment="1">
      <alignment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3" fillId="15" borderId="41" xfId="1" applyFill="1" applyBorder="1" applyAlignment="1">
      <alignment horizontal="center" vertical="center" wrapText="1"/>
    </xf>
    <xf numFmtId="0" fontId="3" fillId="15" borderId="40" xfId="1" applyFill="1" applyBorder="1" applyAlignment="1">
      <alignment horizontal="center" vertical="center" wrapText="1"/>
    </xf>
    <xf numFmtId="0" fontId="3" fillId="16" borderId="41" xfId="1" applyFill="1" applyBorder="1" applyAlignment="1">
      <alignment horizontal="center" vertical="center" wrapText="1"/>
    </xf>
    <xf numFmtId="0" fontId="3" fillId="16" borderId="40" xfId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176" fontId="10" fillId="13" borderId="2" xfId="0" applyNumberFormat="1" applyFont="1" applyFill="1" applyBorder="1" applyAlignment="1">
      <alignment horizontal="center" vertical="center"/>
    </xf>
    <xf numFmtId="178" fontId="10" fillId="13" borderId="2" xfId="0" applyNumberFormat="1" applyFont="1" applyFill="1" applyBorder="1" applyAlignment="1">
      <alignment horizontal="center" vertical="center"/>
    </xf>
    <xf numFmtId="3" fontId="16" fillId="14" borderId="23" xfId="0" applyNumberFormat="1" applyFont="1" applyFill="1" applyBorder="1" applyAlignment="1">
      <alignment horizontal="center" vertical="center" wrapText="1"/>
    </xf>
    <xf numFmtId="181" fontId="10" fillId="14" borderId="2" xfId="0" applyNumberFormat="1" applyFont="1" applyFill="1" applyBorder="1" applyAlignment="1">
      <alignment horizontal="center" vertical="center"/>
    </xf>
    <xf numFmtId="177" fontId="10" fillId="14" borderId="2" xfId="0" applyNumberFormat="1" applyFont="1" applyFill="1" applyBorder="1" applyAlignment="1">
      <alignment horizontal="center" vertical="center"/>
    </xf>
    <xf numFmtId="1" fontId="10" fillId="14" borderId="2" xfId="0" applyNumberFormat="1" applyFont="1" applyFill="1" applyBorder="1" applyAlignment="1">
      <alignment horizontal="center" vertical="center"/>
    </xf>
    <xf numFmtId="176" fontId="10" fillId="13" borderId="8" xfId="0" applyNumberFormat="1" applyFont="1" applyFill="1" applyBorder="1" applyAlignment="1">
      <alignment horizontal="center" vertical="center"/>
    </xf>
    <xf numFmtId="176" fontId="10" fillId="13" borderId="4" xfId="0" applyNumberFormat="1" applyFont="1" applyFill="1" applyBorder="1" applyAlignment="1">
      <alignment horizontal="center" vertical="center"/>
    </xf>
    <xf numFmtId="176" fontId="10" fillId="14" borderId="8" xfId="0" applyNumberFormat="1" applyFont="1" applyFill="1" applyBorder="1" applyAlignment="1">
      <alignment horizontal="center" vertical="center"/>
    </xf>
    <xf numFmtId="176" fontId="10" fillId="14" borderId="5" xfId="0" applyNumberFormat="1" applyFont="1" applyFill="1" applyBorder="1" applyAlignment="1">
      <alignment horizontal="center" vertical="center"/>
    </xf>
    <xf numFmtId="176" fontId="10" fillId="14" borderId="6" xfId="0" applyNumberFormat="1" applyFont="1" applyFill="1" applyBorder="1" applyAlignment="1">
      <alignment horizontal="center" vertical="center"/>
    </xf>
    <xf numFmtId="177" fontId="10" fillId="14" borderId="9" xfId="0" applyNumberFormat="1" applyFont="1" applyFill="1" applyBorder="1" applyAlignment="1">
      <alignment horizontal="center" vertical="center"/>
    </xf>
    <xf numFmtId="177" fontId="10" fillId="13" borderId="7" xfId="0" applyNumberFormat="1" applyFont="1" applyFill="1" applyBorder="1" applyAlignment="1">
      <alignment horizontal="center" vertical="center"/>
    </xf>
    <xf numFmtId="0" fontId="14" fillId="13" borderId="9" xfId="1" applyFont="1" applyFill="1" applyBorder="1" applyAlignment="1">
      <alignment horizontal="center" vertical="center"/>
    </xf>
    <xf numFmtId="0" fontId="3" fillId="13" borderId="9" xfId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 shrinkToFit="1"/>
    </xf>
    <xf numFmtId="0" fontId="4" fillId="14" borderId="0" xfId="0" applyFont="1" applyFill="1" applyAlignment="1">
      <alignment horizontal="center" vertical="center"/>
    </xf>
    <xf numFmtId="0" fontId="27" fillId="0" borderId="20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9" fillId="14" borderId="22" xfId="0" applyFont="1" applyFill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17" fillId="0" borderId="29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17" fillId="14" borderId="29" xfId="0" applyFont="1" applyFill="1" applyBorder="1" applyAlignment="1">
      <alignment horizontal="center" vertical="center" wrapText="1"/>
    </xf>
    <xf numFmtId="0" fontId="17" fillId="14" borderId="30" xfId="0" applyFont="1" applyFill="1" applyBorder="1" applyAlignment="1">
      <alignment horizontal="center" vertical="center" wrapText="1"/>
    </xf>
    <xf numFmtId="0" fontId="17" fillId="14" borderId="3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26" xfId="0" applyFont="1" applyFill="1" applyBorder="1" applyAlignment="1">
      <alignment horizontal="center" vertical="center" wrapText="1"/>
    </xf>
    <xf numFmtId="0" fontId="24" fillId="15" borderId="43" xfId="0" applyFont="1" applyFill="1" applyBorder="1" applyAlignment="1">
      <alignment horizontal="center" vertical="center" wrapText="1"/>
    </xf>
    <xf numFmtId="0" fontId="24" fillId="15" borderId="38" xfId="0" applyFont="1" applyFill="1" applyBorder="1" applyAlignment="1">
      <alignment horizontal="center" vertical="center" wrapText="1"/>
    </xf>
    <xf numFmtId="0" fontId="24" fillId="15" borderId="42" xfId="0" applyFont="1" applyFill="1" applyBorder="1" applyAlignment="1">
      <alignment horizontal="left" vertical="center" wrapText="1"/>
    </xf>
    <xf numFmtId="0" fontId="24" fillId="15" borderId="36" xfId="0" applyFont="1" applyFill="1" applyBorder="1" applyAlignment="1">
      <alignment horizontal="left" vertical="center" wrapText="1"/>
    </xf>
    <xf numFmtId="6" fontId="25" fillId="15" borderId="43" xfId="0" applyNumberFormat="1" applyFont="1" applyFill="1" applyBorder="1" applyAlignment="1">
      <alignment horizontal="right" vertical="center" wrapText="1"/>
    </xf>
    <xf numFmtId="6" fontId="25" fillId="15" borderId="38" xfId="0" applyNumberFormat="1" applyFont="1" applyFill="1" applyBorder="1" applyAlignment="1">
      <alignment horizontal="right" vertical="center" wrapText="1"/>
    </xf>
    <xf numFmtId="0" fontId="25" fillId="15" borderId="43" xfId="0" applyFont="1" applyFill="1" applyBorder="1" applyAlignment="1">
      <alignment horizontal="center" vertical="center" wrapText="1"/>
    </xf>
    <xf numFmtId="0" fontId="25" fillId="15" borderId="38" xfId="0" applyFont="1" applyFill="1" applyBorder="1" applyAlignment="1">
      <alignment horizontal="center" vertical="center" wrapText="1"/>
    </xf>
    <xf numFmtId="0" fontId="24" fillId="15" borderId="37" xfId="0" applyFont="1" applyFill="1" applyBorder="1" applyAlignment="1">
      <alignment horizontal="left" vertical="center" wrapText="1"/>
    </xf>
    <xf numFmtId="0" fontId="24" fillId="15" borderId="39" xfId="0" applyFont="1" applyFill="1" applyBorder="1" applyAlignment="1">
      <alignment horizontal="center" vertical="center" wrapText="1"/>
    </xf>
    <xf numFmtId="6" fontId="25" fillId="15" borderId="39" xfId="0" applyNumberFormat="1" applyFont="1" applyFill="1" applyBorder="1" applyAlignment="1">
      <alignment horizontal="right" vertical="center" wrapText="1"/>
    </xf>
    <xf numFmtId="0" fontId="25" fillId="15" borderId="39" xfId="0" applyFont="1" applyFill="1" applyBorder="1" applyAlignment="1">
      <alignment horizontal="center" vertical="center" wrapText="1"/>
    </xf>
    <xf numFmtId="0" fontId="24" fillId="16" borderId="42" xfId="0" applyFont="1" applyFill="1" applyBorder="1" applyAlignment="1">
      <alignment horizontal="left" vertical="center" wrapText="1"/>
    </xf>
    <xf numFmtId="0" fontId="24" fillId="16" borderId="36" xfId="0" applyFont="1" applyFill="1" applyBorder="1" applyAlignment="1">
      <alignment horizontal="left" vertical="center" wrapText="1"/>
    </xf>
    <xf numFmtId="0" fontId="24" fillId="16" borderId="43" xfId="0" applyFont="1" applyFill="1" applyBorder="1" applyAlignment="1">
      <alignment horizontal="center" vertical="center" wrapText="1"/>
    </xf>
    <xf numFmtId="0" fontId="24" fillId="16" borderId="38" xfId="0" applyFont="1" applyFill="1" applyBorder="1" applyAlignment="1">
      <alignment horizontal="center" vertical="center" wrapText="1"/>
    </xf>
    <xf numFmtId="6" fontId="25" fillId="16" borderId="43" xfId="0" applyNumberFormat="1" applyFont="1" applyFill="1" applyBorder="1" applyAlignment="1">
      <alignment horizontal="right" vertical="center" wrapText="1"/>
    </xf>
    <xf numFmtId="6" fontId="25" fillId="16" borderId="38" xfId="0" applyNumberFormat="1" applyFont="1" applyFill="1" applyBorder="1" applyAlignment="1">
      <alignment horizontal="right" vertical="center" wrapText="1"/>
    </xf>
    <xf numFmtId="0" fontId="25" fillId="16" borderId="43" xfId="0" applyFont="1" applyFill="1" applyBorder="1" applyAlignment="1">
      <alignment horizontal="center" vertical="center" wrapText="1"/>
    </xf>
    <xf numFmtId="0" fontId="25" fillId="16" borderId="38" xfId="0" applyFont="1" applyFill="1" applyBorder="1" applyAlignment="1">
      <alignment horizontal="center" vertical="center" wrapText="1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401659279?itemId=27926710611&amp;vendorItemId=94853905257&amp;q=%EC%84%B1%EC%A3%BC%EC%B0%B8%EC%99%B8&amp;searchId=d3882dfa7011382&amp;sourceType=search&amp;itemsCount=36&amp;searchRank=1&amp;rank=1&amp;traceId=mmqa6g7u" TargetMode="External"/><Relationship Id="rId2" Type="http://schemas.openxmlformats.org/officeDocument/2006/relationships/hyperlink" Target="https://www.coupang.com/vp/products/9422634298?itemId=28006735858&amp;vendorItemId=94964161682&amp;q=%EC%84%B1%EC%A3%BC%EC%B0%B8%EC%99%B8&amp;searchId=d3882dfa7011382&amp;sourceType=search&amp;itemsCount=36&amp;searchRank=4&amp;rank=4&amp;traceId=mmqa519u" TargetMode="External"/><Relationship Id="rId1" Type="http://schemas.openxmlformats.org/officeDocument/2006/relationships/hyperlink" Target="https://www.coupang.com/vp/products/9423243138?itemId=28009088563&amp;vendorItemId=94976064089&amp;q=%EC%84%B1%EC%A3%BC%EC%B0%B8%EC%99%B8&amp;searchId=d3882dfa7011382&amp;sourceType=search&amp;itemsCount=36&amp;searchRank=2&amp;rank=2&amp;traceId=mmqa4it7" TargetMode="External"/><Relationship Id="rId4" Type="http://schemas.openxmlformats.org/officeDocument/2006/relationships/hyperlink" Target="https://www.coupang.com/vp/products/9363643897?itemId=27784647194&amp;vendorItemId=94744938771&amp;q=%EC%84%B1%EC%A3%BC%EC%B0%B8%EC%99%B8&amp;searchId=d3882dfa7011382&amp;sourceType=search&amp;itemsCount=36&amp;searchRank=11&amp;rank=11&amp;traceId=mmqagmm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3" Type="http://schemas.openxmlformats.org/officeDocument/2006/relationships/hyperlink" Target="https://www.coupang.com/vp/products/9363643897?itemId=27784647194&amp;vendorItemId=94744938771&amp;q=%EC%84%B1%EC%A3%BC%EC%B0%B8%EC%99%B8&amp;searchId=d3882dfa7011382&amp;sourceType=search&amp;itemsCount=36&amp;searchRank=11&amp;rank=11&amp;traceId=mmqagmme" TargetMode="External"/><Relationship Id="rId7" Type="http://schemas.openxmlformats.org/officeDocument/2006/relationships/hyperlink" Target="javascript:;" TargetMode="External"/><Relationship Id="rId2" Type="http://schemas.openxmlformats.org/officeDocument/2006/relationships/hyperlink" Target="https://www.coupang.com/vp/products/9401659279?itemId=27926710611&amp;vendorItemId=94853905257&amp;q=%EC%84%B1%EC%A3%BC%EC%B0%B8%EC%99%B8&amp;searchId=d3882dfa7011382&amp;sourceType=search&amp;itemsCount=36&amp;searchRank=1&amp;rank=1&amp;traceId=mmqa6g7u" TargetMode="External"/><Relationship Id="rId1" Type="http://schemas.openxmlformats.org/officeDocument/2006/relationships/hyperlink" Target="https://www.coupang.com/vp/products/9423243138?itemId=28009088563&amp;vendorItemId=94976064089&amp;q=%EC%84%B1%EC%A3%BC%EC%B0%B8%EC%99%B8&amp;searchId=d3882dfa7011382&amp;sourceType=search&amp;itemsCount=36&amp;searchRank=2&amp;rank=2&amp;traceId=mmqa4it7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0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868"/>
  <sheetViews>
    <sheetView showGridLines="0" tabSelected="1" topLeftCell="A6" zoomScale="130" zoomScaleNormal="130" workbookViewId="0">
      <selection activeCell="N9" sqref="N9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28515625" style="1" customWidth="1"/>
    <col min="5" max="5" width="33" style="1" bestFit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2.140625" style="1" customWidth="1"/>
    <col min="18" max="18" width="9.28515625" style="1" hidden="1" customWidth="1"/>
    <col min="19" max="19" width="9.7109375" style="1" bestFit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117" t="s">
        <v>17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120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2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2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126" t="s">
        <v>1</v>
      </c>
      <c r="D7" s="127"/>
      <c r="E7" s="47" t="s">
        <v>13</v>
      </c>
      <c r="F7" s="47" t="s">
        <v>15</v>
      </c>
      <c r="G7" s="48" t="s">
        <v>2</v>
      </c>
      <c r="H7" s="48" t="s">
        <v>20</v>
      </c>
      <c r="I7" s="49" t="s">
        <v>22</v>
      </c>
      <c r="J7" s="50" t="s">
        <v>18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16</v>
      </c>
      <c r="U7" s="40" t="s">
        <v>7</v>
      </c>
      <c r="V7" s="42" t="s">
        <v>8</v>
      </c>
      <c r="W7" s="44"/>
      <c r="X7" s="22" t="s">
        <v>12</v>
      </c>
      <c r="Y7" s="22" t="s">
        <v>27</v>
      </c>
      <c r="Z7" s="22" t="s">
        <v>28</v>
      </c>
    </row>
    <row r="8" spans="1:26" ht="18" customHeight="1" thickBot="1">
      <c r="A8" s="28"/>
      <c r="B8" s="23">
        <v>1</v>
      </c>
      <c r="C8" s="128"/>
      <c r="D8" s="129"/>
      <c r="E8" s="97" t="s">
        <v>31</v>
      </c>
      <c r="F8" s="34">
        <v>1</v>
      </c>
      <c r="G8" s="25">
        <f>H8+500</f>
        <v>23300</v>
      </c>
      <c r="H8" s="24">
        <v>22800</v>
      </c>
      <c r="I8" s="62">
        <v>13300</v>
      </c>
      <c r="J8" s="29">
        <v>0</v>
      </c>
      <c r="K8" s="30">
        <v>0.1166</v>
      </c>
      <c r="L8" s="31"/>
      <c r="M8" s="31">
        <v>0</v>
      </c>
      <c r="N8" s="27">
        <f>H8*3%</f>
        <v>684</v>
      </c>
      <c r="O8" s="26"/>
      <c r="P8" s="32">
        <f t="shared" ref="P8:P16" si="0">(G8*K8)+(H8*3.63%)</f>
        <v>3544.4199999999996</v>
      </c>
      <c r="Q8" s="32">
        <f t="shared" ref="Q8:Q16" si="1">((G8+H8)-(I8+L8+M8+N8+P8))*0%</f>
        <v>0</v>
      </c>
      <c r="R8" s="32">
        <f t="shared" ref="R8:R16" si="2">G8+H8-I8-L8-M8-N8-P8-Q8</f>
        <v>28571.58</v>
      </c>
      <c r="S8" s="32">
        <f t="shared" ref="S8:S16" si="3">R8*16%</f>
        <v>4571.4528</v>
      </c>
      <c r="T8" s="33">
        <f>G8*1%</f>
        <v>233</v>
      </c>
      <c r="U8" s="41">
        <f>H8-I8-L8-M8-N8-P8-Q8-S8-T8</f>
        <v>467.1271999999999</v>
      </c>
      <c r="V8" s="43">
        <f t="shared" ref="V8:V16" si="4">IF(U8=0,"",U8/G8)</f>
        <v>2.0048377682403428E-2</v>
      </c>
      <c r="W8" s="37"/>
      <c r="X8" s="53"/>
      <c r="Y8" s="52"/>
      <c r="Z8" s="36"/>
    </row>
    <row r="9" spans="1:26" ht="18" customHeight="1" thickBot="1">
      <c r="A9" s="28"/>
      <c r="B9" s="23">
        <v>2</v>
      </c>
      <c r="C9" s="98"/>
      <c r="D9" s="101" t="s">
        <v>57</v>
      </c>
      <c r="E9" s="98" t="s">
        <v>36</v>
      </c>
      <c r="F9" s="34">
        <v>1</v>
      </c>
      <c r="G9" s="25">
        <f t="shared" ref="G9:G16" si="5">H9+500</f>
        <v>36750</v>
      </c>
      <c r="H9" s="24">
        <v>36250</v>
      </c>
      <c r="I9" s="64">
        <v>22000</v>
      </c>
      <c r="J9" s="29">
        <v>0</v>
      </c>
      <c r="K9" s="30">
        <v>0.1166</v>
      </c>
      <c r="L9" s="31"/>
      <c r="M9" s="31">
        <v>0</v>
      </c>
      <c r="N9" s="27">
        <f t="shared" ref="N9:N16" si="6">H9*3%</f>
        <v>1087.5</v>
      </c>
      <c r="O9" s="26"/>
      <c r="P9" s="32">
        <f t="shared" si="0"/>
        <v>5600.9250000000002</v>
      </c>
      <c r="Q9" s="32">
        <f t="shared" si="1"/>
        <v>0</v>
      </c>
      <c r="R9" s="32">
        <f t="shared" si="2"/>
        <v>44311.574999999997</v>
      </c>
      <c r="S9" s="32">
        <f t="shared" si="3"/>
        <v>7089.8519999999999</v>
      </c>
      <c r="T9" s="33">
        <f t="shared" ref="T9:T16" si="7">G9*1%</f>
        <v>367.5</v>
      </c>
      <c r="U9" s="41">
        <f t="shared" ref="U9:U16" si="8">H9-I9-L9-M9-N9-P9-Q9-S9-T9</f>
        <v>104.22299999999996</v>
      </c>
      <c r="V9" s="43">
        <f t="shared" si="4"/>
        <v>2.8359999999999987E-3</v>
      </c>
      <c r="W9" s="37"/>
      <c r="X9" s="53"/>
      <c r="Y9" s="52"/>
      <c r="Z9" s="36"/>
    </row>
    <row r="10" spans="1:26" ht="18" customHeight="1" thickBot="1">
      <c r="A10" s="28"/>
      <c r="B10" s="23">
        <v>3</v>
      </c>
      <c r="C10" s="98"/>
      <c r="D10" s="100" t="s">
        <v>58</v>
      </c>
      <c r="E10" s="98" t="s">
        <v>37</v>
      </c>
      <c r="F10" s="34">
        <v>1</v>
      </c>
      <c r="G10" s="25">
        <f t="shared" si="5"/>
        <v>65300</v>
      </c>
      <c r="H10" s="24">
        <v>64800</v>
      </c>
      <c r="I10" s="64">
        <v>38500</v>
      </c>
      <c r="J10" s="29">
        <v>0</v>
      </c>
      <c r="K10" s="30">
        <v>0.1166</v>
      </c>
      <c r="L10" s="31"/>
      <c r="M10" s="31">
        <v>0</v>
      </c>
      <c r="N10" s="27">
        <f t="shared" si="6"/>
        <v>1944</v>
      </c>
      <c r="O10" s="26"/>
      <c r="P10" s="32">
        <f t="shared" ref="P10:P11" si="9">(G10*K10)+(H10*3.63%)</f>
        <v>9966.2199999999993</v>
      </c>
      <c r="Q10" s="32">
        <f t="shared" ref="Q10:Q11" si="10">((G10+H10)-(I10+L10+M10+N10+P10))*0%</f>
        <v>0</v>
      </c>
      <c r="R10" s="32">
        <f t="shared" ref="R10:R11" si="11">G10+H10-I10-L10-M10-N10-P10-Q10</f>
        <v>79689.78</v>
      </c>
      <c r="S10" s="32">
        <f t="shared" ref="S10:S11" si="12">R10*16%</f>
        <v>12750.364799999999</v>
      </c>
      <c r="T10" s="33">
        <f t="shared" ref="T10:T11" si="13">G10*1%</f>
        <v>653</v>
      </c>
      <c r="U10" s="41">
        <f t="shared" ref="U10:U11" si="14">H10-I10-L10-M10-N10-P10-Q10-S10-T10</f>
        <v>986.41520000000128</v>
      </c>
      <c r="V10" s="43">
        <f t="shared" ref="V10:V11" si="15">IF(U10=0,"",U10/G10)</f>
        <v>1.5105898928024521E-2</v>
      </c>
      <c r="W10" s="37"/>
      <c r="X10" s="53"/>
      <c r="Y10" s="52"/>
      <c r="Z10" s="60" t="s">
        <v>25</v>
      </c>
    </row>
    <row r="11" spans="1:26" ht="18" customHeight="1" thickBot="1">
      <c r="A11" s="28"/>
      <c r="B11" s="23">
        <v>4</v>
      </c>
      <c r="C11" s="57"/>
      <c r="D11" s="58"/>
      <c r="E11" s="98" t="s">
        <v>38</v>
      </c>
      <c r="F11" s="34">
        <v>1</v>
      </c>
      <c r="G11" s="25">
        <f t="shared" si="5"/>
        <v>22300</v>
      </c>
      <c r="H11" s="24">
        <v>21800</v>
      </c>
      <c r="I11" s="64">
        <v>10800</v>
      </c>
      <c r="J11" s="29">
        <v>0</v>
      </c>
      <c r="K11" s="30">
        <v>0.1166</v>
      </c>
      <c r="L11" s="31"/>
      <c r="M11" s="31">
        <v>0</v>
      </c>
      <c r="N11" s="27">
        <f t="shared" si="6"/>
        <v>654</v>
      </c>
      <c r="O11" s="26"/>
      <c r="P11" s="32">
        <f t="shared" si="9"/>
        <v>3391.52</v>
      </c>
      <c r="Q11" s="32">
        <f t="shared" si="10"/>
        <v>0</v>
      </c>
      <c r="R11" s="32">
        <f t="shared" si="11"/>
        <v>29254.48</v>
      </c>
      <c r="S11" s="32">
        <f t="shared" si="12"/>
        <v>4680.7168000000001</v>
      </c>
      <c r="T11" s="33">
        <f t="shared" si="13"/>
        <v>223</v>
      </c>
      <c r="U11" s="41">
        <f t="shared" si="14"/>
        <v>2050.7631999999994</v>
      </c>
      <c r="V11" s="43">
        <f t="shared" si="15"/>
        <v>9.1962475336322846E-2</v>
      </c>
      <c r="W11" s="37"/>
      <c r="X11" s="53"/>
      <c r="Y11" s="52" t="s">
        <v>26</v>
      </c>
      <c r="Z11" s="59" t="s">
        <v>23</v>
      </c>
    </row>
    <row r="12" spans="1:26" ht="18" customHeight="1" thickBot="1">
      <c r="A12" s="28"/>
      <c r="B12" s="23">
        <v>5</v>
      </c>
      <c r="C12" s="57"/>
      <c r="D12" s="69"/>
      <c r="E12" s="98" t="s">
        <v>39</v>
      </c>
      <c r="F12" s="34">
        <v>1</v>
      </c>
      <c r="G12" s="25">
        <f t="shared" si="5"/>
        <v>30300</v>
      </c>
      <c r="H12" s="24">
        <v>29800</v>
      </c>
      <c r="I12" s="64">
        <v>17000</v>
      </c>
      <c r="J12" s="29">
        <v>0</v>
      </c>
      <c r="K12" s="30">
        <v>0.1166</v>
      </c>
      <c r="L12" s="31"/>
      <c r="M12" s="31">
        <v>0</v>
      </c>
      <c r="N12" s="27">
        <f t="shared" si="6"/>
        <v>894</v>
      </c>
      <c r="O12" s="26"/>
      <c r="P12" s="32">
        <f t="shared" ref="P12" si="16">(G12*K12)+(H12*3.63%)</f>
        <v>4614.72</v>
      </c>
      <c r="Q12" s="32">
        <f t="shared" ref="Q12" si="17">((G12+H12)-(I12+L12+M12+N12+P12))*0%</f>
        <v>0</v>
      </c>
      <c r="R12" s="32">
        <f t="shared" ref="R12" si="18">G12+H12-I12-L12-M12-N12-P12-Q12</f>
        <v>37591.279999999999</v>
      </c>
      <c r="S12" s="32">
        <f t="shared" ref="S12" si="19">R12*16%</f>
        <v>6014.6048000000001</v>
      </c>
      <c r="T12" s="33">
        <f t="shared" ref="T12" si="20">G12*1%</f>
        <v>303</v>
      </c>
      <c r="U12" s="41">
        <f t="shared" ref="U12" si="21">H12-I12-L12-M12-N12-P12-Q12-S12-T12</f>
        <v>973.67519999999968</v>
      </c>
      <c r="V12" s="43">
        <f t="shared" ref="V12" si="22">IF(U12=0,"",U12/G12)</f>
        <v>3.2134495049504941E-2</v>
      </c>
      <c r="W12" s="37"/>
      <c r="X12" s="53"/>
      <c r="Y12" s="52"/>
      <c r="Z12" s="60" t="s">
        <v>24</v>
      </c>
    </row>
    <row r="13" spans="1:26" ht="18" customHeight="1" thickBot="1">
      <c r="A13" s="28"/>
      <c r="B13" s="23">
        <v>6</v>
      </c>
      <c r="C13" s="57"/>
      <c r="D13" s="58"/>
      <c r="E13" s="98" t="s">
        <v>40</v>
      </c>
      <c r="F13" s="34">
        <v>1</v>
      </c>
      <c r="G13" s="25">
        <f t="shared" si="5"/>
        <v>49300</v>
      </c>
      <c r="H13" s="24">
        <v>48800</v>
      </c>
      <c r="I13" s="64">
        <v>28500</v>
      </c>
      <c r="J13" s="29">
        <v>0</v>
      </c>
      <c r="K13" s="30">
        <v>0.1166</v>
      </c>
      <c r="L13" s="31"/>
      <c r="M13" s="31">
        <v>0</v>
      </c>
      <c r="N13" s="27">
        <f t="shared" si="6"/>
        <v>1464</v>
      </c>
      <c r="O13" s="26"/>
      <c r="P13" s="32">
        <f t="shared" ref="P13" si="23">(G13*K13)+(H13*3.63%)</f>
        <v>7519.82</v>
      </c>
      <c r="Q13" s="32">
        <f t="shared" ref="Q13" si="24">((G13+H13)-(I13+L13+M13+N13+P13))*0%</f>
        <v>0</v>
      </c>
      <c r="R13" s="32">
        <f t="shared" ref="R13" si="25">G13+H13-I13-L13-M13-N13-P13-Q13</f>
        <v>60616.18</v>
      </c>
      <c r="S13" s="32">
        <f t="shared" ref="S13" si="26">R13*16%</f>
        <v>9698.5887999999995</v>
      </c>
      <c r="T13" s="33">
        <f t="shared" ref="T13" si="27">G13*1%</f>
        <v>493</v>
      </c>
      <c r="U13" s="41">
        <f t="shared" ref="U13" si="28">H13-I13-L13-M13-N13-P13-Q13-S13-T13</f>
        <v>1124.5912000000008</v>
      </c>
      <c r="V13" s="43">
        <f t="shared" ref="V13" si="29">IF(U13=0,"",U13/G13)</f>
        <v>2.2811180527383384E-2</v>
      </c>
      <c r="W13" s="37"/>
      <c r="X13" s="53"/>
      <c r="Y13" s="52"/>
      <c r="Z13" s="36"/>
    </row>
    <row r="14" spans="1:26" s="96" customFormat="1" ht="18" customHeight="1" thickBot="1">
      <c r="A14" s="77"/>
      <c r="B14" s="78">
        <v>7</v>
      </c>
      <c r="C14" s="130" t="s">
        <v>56</v>
      </c>
      <c r="D14" s="131"/>
      <c r="E14" s="99" t="s">
        <v>55</v>
      </c>
      <c r="F14" s="79">
        <v>1</v>
      </c>
      <c r="G14" s="80" t="s">
        <v>54</v>
      </c>
      <c r="H14" s="81">
        <v>14800</v>
      </c>
      <c r="I14" s="82">
        <v>8800</v>
      </c>
      <c r="J14" s="83">
        <v>0</v>
      </c>
      <c r="K14" s="84">
        <v>0.1166</v>
      </c>
      <c r="L14" s="85"/>
      <c r="M14" s="85">
        <v>0</v>
      </c>
      <c r="N14" s="86">
        <f t="shared" si="6"/>
        <v>444</v>
      </c>
      <c r="O14" s="87"/>
      <c r="P14" s="88" t="e">
        <f t="shared" si="0"/>
        <v>#VALUE!</v>
      </c>
      <c r="Q14" s="88" t="e">
        <f t="shared" si="1"/>
        <v>#VALUE!</v>
      </c>
      <c r="R14" s="88" t="e">
        <f t="shared" si="2"/>
        <v>#VALUE!</v>
      </c>
      <c r="S14" s="88" t="e">
        <f t="shared" si="3"/>
        <v>#VALUE!</v>
      </c>
      <c r="T14" s="89" t="e">
        <f>G14*1%</f>
        <v>#VALUE!</v>
      </c>
      <c r="U14" s="90" t="e">
        <f t="shared" si="8"/>
        <v>#VALUE!</v>
      </c>
      <c r="V14" s="91" t="e">
        <f t="shared" si="4"/>
        <v>#VALUE!</v>
      </c>
      <c r="W14" s="92"/>
      <c r="X14" s="93"/>
      <c r="Y14" s="94"/>
      <c r="Z14" s="95"/>
    </row>
    <row r="15" spans="1:26" ht="18" customHeight="1" thickBot="1">
      <c r="A15" s="28"/>
      <c r="B15" s="23">
        <v>8</v>
      </c>
      <c r="C15" s="114"/>
      <c r="D15" s="115"/>
      <c r="E15" s="98" t="s">
        <v>42</v>
      </c>
      <c r="F15" s="34">
        <v>1</v>
      </c>
      <c r="G15" s="25">
        <f t="shared" si="5"/>
        <v>25300</v>
      </c>
      <c r="H15" s="24">
        <v>24800</v>
      </c>
      <c r="I15" s="64">
        <v>13000</v>
      </c>
      <c r="J15" s="29">
        <v>0</v>
      </c>
      <c r="K15" s="30">
        <v>0.1166</v>
      </c>
      <c r="L15" s="31"/>
      <c r="M15" s="31">
        <v>0</v>
      </c>
      <c r="N15" s="27">
        <f t="shared" si="6"/>
        <v>744</v>
      </c>
      <c r="O15" s="26"/>
      <c r="P15" s="32">
        <f t="shared" si="0"/>
        <v>3850.2200000000003</v>
      </c>
      <c r="Q15" s="32">
        <f t="shared" si="1"/>
        <v>0</v>
      </c>
      <c r="R15" s="32">
        <f t="shared" si="2"/>
        <v>32505.78</v>
      </c>
      <c r="S15" s="32">
        <f t="shared" si="3"/>
        <v>5200.9247999999998</v>
      </c>
      <c r="T15" s="33">
        <f t="shared" si="7"/>
        <v>253</v>
      </c>
      <c r="U15" s="41">
        <f t="shared" si="8"/>
        <v>1751.8552</v>
      </c>
      <c r="V15" s="43">
        <f t="shared" si="4"/>
        <v>6.9243288537549408E-2</v>
      </c>
      <c r="W15" s="37"/>
      <c r="X15" s="53"/>
      <c r="Y15" s="52"/>
      <c r="Z15" s="36"/>
    </row>
    <row r="16" spans="1:26" ht="18" customHeight="1" thickBot="1">
      <c r="A16" s="28"/>
      <c r="B16" s="23">
        <v>9</v>
      </c>
      <c r="C16" s="114"/>
      <c r="D16" s="115"/>
      <c r="E16" s="98" t="s">
        <v>43</v>
      </c>
      <c r="F16" s="34">
        <v>1</v>
      </c>
      <c r="G16" s="25">
        <f t="shared" si="5"/>
        <v>39300</v>
      </c>
      <c r="H16" s="24">
        <v>38800</v>
      </c>
      <c r="I16" s="64">
        <v>20500</v>
      </c>
      <c r="J16" s="29">
        <v>0</v>
      </c>
      <c r="K16" s="30">
        <v>0.1166</v>
      </c>
      <c r="L16" s="31"/>
      <c r="M16" s="31">
        <v>0</v>
      </c>
      <c r="N16" s="27">
        <f t="shared" si="6"/>
        <v>1164</v>
      </c>
      <c r="O16" s="26"/>
      <c r="P16" s="32">
        <f t="shared" si="0"/>
        <v>5990.82</v>
      </c>
      <c r="Q16" s="32">
        <f t="shared" si="1"/>
        <v>0</v>
      </c>
      <c r="R16" s="32">
        <f t="shared" si="2"/>
        <v>50445.18</v>
      </c>
      <c r="S16" s="32">
        <f t="shared" si="3"/>
        <v>8071.2287999999999</v>
      </c>
      <c r="T16" s="33">
        <f t="shared" si="7"/>
        <v>393</v>
      </c>
      <c r="U16" s="41">
        <f t="shared" si="8"/>
        <v>2680.9512000000004</v>
      </c>
      <c r="V16" s="43">
        <f t="shared" si="4"/>
        <v>6.8217587786259554E-2</v>
      </c>
      <c r="W16" s="37"/>
      <c r="X16" s="53"/>
      <c r="Y16" s="52"/>
      <c r="Z16" s="36"/>
    </row>
    <row r="17" spans="1:26" ht="18" customHeight="1">
      <c r="A17" s="28"/>
      <c r="B17" s="23"/>
      <c r="C17" s="114"/>
      <c r="D17" s="116"/>
      <c r="E17" s="54"/>
      <c r="F17" s="34"/>
      <c r="G17" s="25"/>
      <c r="H17" s="24"/>
      <c r="I17" s="25"/>
      <c r="J17" s="29"/>
      <c r="K17" s="30"/>
      <c r="L17" s="31"/>
      <c r="M17" s="31"/>
      <c r="N17" s="27"/>
      <c r="O17" s="26"/>
      <c r="P17" s="32"/>
      <c r="Q17" s="32"/>
      <c r="R17" s="32"/>
      <c r="S17" s="32"/>
      <c r="T17" s="33"/>
      <c r="U17" s="41"/>
      <c r="V17" s="43"/>
      <c r="W17" s="37"/>
      <c r="X17" s="53"/>
      <c r="Y17" s="52"/>
      <c r="Z17" s="36"/>
    </row>
    <row r="18" spans="1:26" ht="18" customHeight="1">
      <c r="A18" s="8"/>
      <c r="B18" s="8"/>
      <c r="D18" s="3" t="s">
        <v>21</v>
      </c>
      <c r="E18" s="3"/>
      <c r="F18" s="3" t="s">
        <v>19</v>
      </c>
      <c r="G18" s="9"/>
      <c r="H18" s="9"/>
      <c r="I18" s="9"/>
      <c r="J18" s="18"/>
      <c r="K18" s="10"/>
      <c r="L18" s="11"/>
      <c r="M18" s="11"/>
      <c r="N18" s="9"/>
      <c r="O18" s="9"/>
      <c r="P18" s="9"/>
      <c r="Q18" s="9"/>
      <c r="R18" s="9"/>
      <c r="S18" s="9"/>
      <c r="T18" s="9"/>
      <c r="U18" s="9"/>
      <c r="V18" s="12"/>
      <c r="W18" s="12"/>
      <c r="X18" s="14"/>
      <c r="Y18" s="14"/>
      <c r="Z18" s="14"/>
    </row>
    <row r="19" spans="1:26" ht="18.75" customHeight="1">
      <c r="A19" s="8"/>
      <c r="B19" s="8"/>
      <c r="C19" s="8"/>
      <c r="D19" s="8"/>
      <c r="E19" s="3"/>
      <c r="F19" s="3"/>
      <c r="G19" s="9"/>
      <c r="H19" s="9"/>
      <c r="I19" s="9"/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>
      <c r="A20" s="8"/>
      <c r="B20" s="8"/>
      <c r="C20" s="8"/>
      <c r="D20" s="8"/>
      <c r="E20" s="3"/>
      <c r="F20" s="3"/>
      <c r="G20" s="9"/>
      <c r="H20" s="9"/>
      <c r="I20" s="9"/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 thickBo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43.5" customHeight="1" thickBot="1">
      <c r="A22" s="8"/>
      <c r="B22" s="8"/>
      <c r="C22" s="65" t="s">
        <v>30</v>
      </c>
      <c r="D22" s="70" t="s">
        <v>31</v>
      </c>
      <c r="E22" s="61" t="s">
        <v>32</v>
      </c>
      <c r="F22" s="62">
        <v>13300</v>
      </c>
      <c r="G22" s="55">
        <v>13000</v>
      </c>
      <c r="H22" s="111" t="s">
        <v>33</v>
      </c>
      <c r="I22" s="102" t="s">
        <v>34</v>
      </c>
      <c r="J22" s="102" t="s">
        <v>35</v>
      </c>
      <c r="K22" s="102" t="s">
        <v>29</v>
      </c>
      <c r="L22" s="105" t="s">
        <v>44</v>
      </c>
      <c r="M22" s="106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 thickBot="1">
      <c r="A23" s="8"/>
      <c r="B23" s="8"/>
      <c r="C23" s="66" t="s">
        <v>30</v>
      </c>
      <c r="D23" s="71" t="s">
        <v>36</v>
      </c>
      <c r="E23" s="63" t="s">
        <v>32</v>
      </c>
      <c r="F23" s="64">
        <v>22000</v>
      </c>
      <c r="G23" s="56">
        <v>21600</v>
      </c>
      <c r="H23" s="112"/>
      <c r="I23" s="103"/>
      <c r="J23" s="103"/>
      <c r="K23" s="103"/>
      <c r="L23" s="107"/>
      <c r="M23" s="108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 thickBot="1">
      <c r="A24" s="8"/>
      <c r="B24" s="8"/>
      <c r="C24" s="66" t="s">
        <v>30</v>
      </c>
      <c r="D24" s="71" t="s">
        <v>37</v>
      </c>
      <c r="E24" s="63" t="s">
        <v>32</v>
      </c>
      <c r="F24" s="64">
        <v>38500</v>
      </c>
      <c r="G24" s="56">
        <v>38100</v>
      </c>
      <c r="H24" s="112"/>
      <c r="I24" s="103"/>
      <c r="J24" s="103"/>
      <c r="K24" s="103"/>
      <c r="L24" s="107"/>
      <c r="M24" s="108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36.75" customHeight="1" thickBot="1">
      <c r="A25" s="8"/>
      <c r="B25" s="8"/>
      <c r="C25" s="66" t="s">
        <v>30</v>
      </c>
      <c r="D25" s="72" t="s">
        <v>38</v>
      </c>
      <c r="E25" s="63" t="s">
        <v>32</v>
      </c>
      <c r="F25" s="64">
        <v>10800</v>
      </c>
      <c r="G25" s="56">
        <v>10500</v>
      </c>
      <c r="H25" s="112"/>
      <c r="I25" s="103"/>
      <c r="J25" s="103"/>
      <c r="K25" s="103"/>
      <c r="L25" s="107"/>
      <c r="M25" s="108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 thickBot="1">
      <c r="A26" s="8"/>
      <c r="B26" s="8"/>
      <c r="C26" s="66" t="s">
        <v>30</v>
      </c>
      <c r="D26" s="71" t="s">
        <v>39</v>
      </c>
      <c r="E26" s="63" t="s">
        <v>32</v>
      </c>
      <c r="F26" s="64">
        <v>17000</v>
      </c>
      <c r="G26" s="56">
        <v>16600</v>
      </c>
      <c r="H26" s="112"/>
      <c r="I26" s="103"/>
      <c r="J26" s="103"/>
      <c r="K26" s="103"/>
      <c r="L26" s="107"/>
      <c r="M26" s="108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 thickBot="1">
      <c r="A27" s="8"/>
      <c r="B27" s="8"/>
      <c r="C27" s="66" t="s">
        <v>30</v>
      </c>
      <c r="D27" s="71" t="s">
        <v>40</v>
      </c>
      <c r="E27" s="63" t="s">
        <v>32</v>
      </c>
      <c r="F27" s="64">
        <v>28500</v>
      </c>
      <c r="G27" s="56">
        <v>28100</v>
      </c>
      <c r="H27" s="112"/>
      <c r="I27" s="103"/>
      <c r="J27" s="103"/>
      <c r="K27" s="103"/>
      <c r="L27" s="107"/>
      <c r="M27" s="108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 thickBot="1">
      <c r="A28" s="8"/>
      <c r="B28" s="8"/>
      <c r="C28" s="66" t="s">
        <v>30</v>
      </c>
      <c r="D28" s="71" t="s">
        <v>41</v>
      </c>
      <c r="E28" s="63" t="s">
        <v>32</v>
      </c>
      <c r="F28" s="64">
        <v>8800</v>
      </c>
      <c r="G28" s="56">
        <v>8500</v>
      </c>
      <c r="H28" s="112"/>
      <c r="I28" s="103"/>
      <c r="J28" s="103"/>
      <c r="K28" s="103"/>
      <c r="L28" s="107"/>
      <c r="M28" s="108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 thickBot="1">
      <c r="A29" s="8"/>
      <c r="B29" s="8"/>
      <c r="C29" s="66" t="s">
        <v>30</v>
      </c>
      <c r="D29" s="71" t="s">
        <v>42</v>
      </c>
      <c r="E29" s="63" t="s">
        <v>32</v>
      </c>
      <c r="F29" s="64">
        <v>13000</v>
      </c>
      <c r="G29" s="56">
        <v>12600</v>
      </c>
      <c r="H29" s="112"/>
      <c r="I29" s="103"/>
      <c r="J29" s="103"/>
      <c r="K29" s="103"/>
      <c r="L29" s="107"/>
      <c r="M29" s="108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22.5" customHeight="1" thickBot="1">
      <c r="A30" s="8"/>
      <c r="B30" s="8"/>
      <c r="C30" s="66" t="s">
        <v>30</v>
      </c>
      <c r="D30" s="71" t="s">
        <v>43</v>
      </c>
      <c r="E30" s="63" t="s">
        <v>32</v>
      </c>
      <c r="F30" s="64">
        <v>20500</v>
      </c>
      <c r="G30" s="56">
        <v>20100</v>
      </c>
      <c r="H30" s="113"/>
      <c r="I30" s="104"/>
      <c r="J30" s="104"/>
      <c r="K30" s="104"/>
      <c r="L30" s="109"/>
      <c r="M30" s="110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5" customHeight="1">
      <c r="X868" s="14"/>
      <c r="Y868" s="14"/>
      <c r="Z868" s="14"/>
    </row>
  </sheetData>
  <mergeCells count="12">
    <mergeCell ref="C16:D16"/>
    <mergeCell ref="C17:D17"/>
    <mergeCell ref="B2:N5"/>
    <mergeCell ref="C7:D7"/>
    <mergeCell ref="C8:D8"/>
    <mergeCell ref="C14:D14"/>
    <mergeCell ref="C15:D15"/>
    <mergeCell ref="I22:I30"/>
    <mergeCell ref="J22:J30"/>
    <mergeCell ref="K22:K30"/>
    <mergeCell ref="L22:M30"/>
    <mergeCell ref="H22:H30"/>
  </mergeCells>
  <phoneticPr fontId="1" type="noConversion"/>
  <hyperlinks>
    <hyperlink ref="Z11" r:id="rId1" xr:uid="{C56C8194-7539-47F0-88F6-B1109A0427BB}"/>
    <hyperlink ref="Z12" r:id="rId2" xr:uid="{F957C244-16B8-402A-978F-B30A388040D1}"/>
    <hyperlink ref="Z10" r:id="rId3" xr:uid="{F006CA01-87DE-4768-992F-793B6258A1DC}"/>
    <hyperlink ref="Y11" r:id="rId4" xr:uid="{DAD341C6-B0DB-40BA-9D37-E7C03DC4B6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4C03-3672-4CAD-B09C-C35C1808347B}">
  <dimension ref="A1:Z853"/>
  <sheetViews>
    <sheetView workbookViewId="0">
      <selection activeCell="E36" sqref="E36"/>
    </sheetView>
  </sheetViews>
  <sheetFormatPr defaultColWidth="14.42578125" defaultRowHeight="16.5"/>
  <cols>
    <col min="1" max="1" width="4.140625" style="1" customWidth="1"/>
    <col min="2" max="2" width="5.42578125" style="1" customWidth="1"/>
    <col min="3" max="3" width="5.85546875" style="1" customWidth="1"/>
    <col min="4" max="4" width="27.28515625" style="1" customWidth="1"/>
    <col min="5" max="5" width="33" style="1" bestFit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2.28515625" style="1" customWidth="1"/>
    <col min="18" max="18" width="9.28515625" style="1" hidden="1" customWidth="1"/>
    <col min="19" max="19" width="7.28515625" style="1" hidden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117" t="s">
        <v>17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120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2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2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123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126" t="s">
        <v>1</v>
      </c>
      <c r="D7" s="127"/>
      <c r="E7" s="47" t="s">
        <v>13</v>
      </c>
      <c r="F7" s="47" t="s">
        <v>15</v>
      </c>
      <c r="G7" s="48" t="s">
        <v>2</v>
      </c>
      <c r="H7" s="48" t="s">
        <v>20</v>
      </c>
      <c r="I7" s="49" t="s">
        <v>22</v>
      </c>
      <c r="J7" s="50" t="s">
        <v>18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16</v>
      </c>
      <c r="U7" s="40" t="s">
        <v>7</v>
      </c>
      <c r="V7" s="42" t="s">
        <v>8</v>
      </c>
      <c r="W7" s="44"/>
      <c r="X7" s="22" t="s">
        <v>12</v>
      </c>
      <c r="Y7" s="22" t="s">
        <v>27</v>
      </c>
      <c r="Z7" s="22" t="s">
        <v>28</v>
      </c>
    </row>
    <row r="8" spans="1:26" ht="18" customHeight="1" thickBot="1">
      <c r="A8" s="28"/>
      <c r="B8" s="23">
        <v>1</v>
      </c>
      <c r="C8" s="128"/>
      <c r="D8" s="129"/>
      <c r="E8" s="67" t="s">
        <v>31</v>
      </c>
      <c r="F8" s="34">
        <v>1</v>
      </c>
      <c r="G8" s="25">
        <f>H8+500</f>
        <v>38300</v>
      </c>
      <c r="H8" s="24">
        <v>37800</v>
      </c>
      <c r="I8" s="62">
        <v>48000</v>
      </c>
      <c r="J8" s="29">
        <v>0</v>
      </c>
      <c r="K8" s="30">
        <v>0.1166</v>
      </c>
      <c r="L8" s="31"/>
      <c r="M8" s="31">
        <v>0</v>
      </c>
      <c r="N8" s="27">
        <f>H8*3%</f>
        <v>1134</v>
      </c>
      <c r="O8" s="26"/>
      <c r="P8" s="32">
        <f t="shared" ref="P8:P11" si="0">(G8*K8)+(H8*3.63%)</f>
        <v>5837.92</v>
      </c>
      <c r="Q8" s="32">
        <f t="shared" ref="Q8:Q11" si="1">((G8+H8)-(I8+L8+M8+N8+P8))*0%</f>
        <v>0</v>
      </c>
      <c r="R8" s="32">
        <f t="shared" ref="R8:R11" si="2">G8+H8-I8-L8-M8-N8-P8-Q8</f>
        <v>21128.080000000002</v>
      </c>
      <c r="S8" s="32">
        <f t="shared" ref="S8:S11" si="3">R8*16%</f>
        <v>3380.4928000000004</v>
      </c>
      <c r="T8" s="33">
        <f>G8*1%</f>
        <v>383</v>
      </c>
      <c r="U8" s="41">
        <f>H8-I8-L8-M8-N8-P8-Q8-S8-T8</f>
        <v>-20935.412799999998</v>
      </c>
      <c r="V8" s="43">
        <f t="shared" ref="V8:V11" si="4">IF(U8=0,"",U8/G8)</f>
        <v>-0.54661652219321144</v>
      </c>
      <c r="W8" s="37"/>
      <c r="X8" s="53"/>
      <c r="Y8" s="52"/>
      <c r="Z8" s="36"/>
    </row>
    <row r="9" spans="1:26" ht="18" customHeight="1" thickBot="1">
      <c r="A9" s="28"/>
      <c r="B9" s="23">
        <v>2</v>
      </c>
      <c r="C9" s="114"/>
      <c r="D9" s="115"/>
      <c r="E9" s="68" t="s">
        <v>36</v>
      </c>
      <c r="F9" s="34">
        <v>1</v>
      </c>
      <c r="G9" s="25">
        <f t="shared" ref="G9:G11" si="5">H9+500</f>
        <v>20300</v>
      </c>
      <c r="H9" s="24">
        <v>19800</v>
      </c>
      <c r="I9" s="64">
        <v>27000</v>
      </c>
      <c r="J9" s="29">
        <v>0</v>
      </c>
      <c r="K9" s="30">
        <v>0.1166</v>
      </c>
      <c r="L9" s="31"/>
      <c r="M9" s="31">
        <v>0</v>
      </c>
      <c r="N9" s="27">
        <f t="shared" ref="N9:N11" si="6">H9*3%</f>
        <v>594</v>
      </c>
      <c r="O9" s="26"/>
      <c r="P9" s="32">
        <f t="shared" si="0"/>
        <v>3085.7200000000003</v>
      </c>
      <c r="Q9" s="32">
        <f t="shared" si="1"/>
        <v>0</v>
      </c>
      <c r="R9" s="32">
        <f t="shared" si="2"/>
        <v>9420.2799999999988</v>
      </c>
      <c r="S9" s="32">
        <f t="shared" si="3"/>
        <v>1507.2447999999999</v>
      </c>
      <c r="T9" s="33">
        <f t="shared" ref="T9:T11" si="7">G9*1%</f>
        <v>203</v>
      </c>
      <c r="U9" s="41">
        <f t="shared" ref="U9:U11" si="8">H9-I9-L9-M9-N9-P9-Q9-S9-T9</f>
        <v>-12589.964800000002</v>
      </c>
      <c r="V9" s="43">
        <f t="shared" si="4"/>
        <v>-0.62019531034482767</v>
      </c>
      <c r="W9" s="37"/>
      <c r="X9" s="53"/>
      <c r="Y9" s="52"/>
      <c r="Z9" s="36"/>
    </row>
    <row r="10" spans="1:26" ht="18" customHeight="1" thickBot="1">
      <c r="A10" s="28"/>
      <c r="B10" s="23">
        <v>3</v>
      </c>
      <c r="C10" s="57"/>
      <c r="D10" s="69"/>
      <c r="E10" s="68" t="s">
        <v>37</v>
      </c>
      <c r="F10" s="34">
        <v>1</v>
      </c>
      <c r="G10" s="25">
        <f t="shared" si="5"/>
        <v>15300</v>
      </c>
      <c r="H10" s="24">
        <v>14800</v>
      </c>
      <c r="I10" s="64">
        <v>15800</v>
      </c>
      <c r="J10" s="29">
        <v>0</v>
      </c>
      <c r="K10" s="30">
        <v>0.1166</v>
      </c>
      <c r="L10" s="31"/>
      <c r="M10" s="31">
        <v>0</v>
      </c>
      <c r="N10" s="27">
        <f t="shared" si="6"/>
        <v>444</v>
      </c>
      <c r="O10" s="26"/>
      <c r="P10" s="32">
        <f t="shared" si="0"/>
        <v>2321.2200000000003</v>
      </c>
      <c r="Q10" s="32">
        <f t="shared" si="1"/>
        <v>0</v>
      </c>
      <c r="R10" s="32">
        <f t="shared" si="2"/>
        <v>11534.779999999999</v>
      </c>
      <c r="S10" s="32">
        <f t="shared" si="3"/>
        <v>1845.5647999999999</v>
      </c>
      <c r="T10" s="33">
        <f t="shared" si="7"/>
        <v>153</v>
      </c>
      <c r="U10" s="41">
        <f t="shared" si="8"/>
        <v>-5763.7848000000004</v>
      </c>
      <c r="V10" s="43">
        <f t="shared" si="4"/>
        <v>-0.37671796078431374</v>
      </c>
      <c r="W10" s="37"/>
      <c r="X10" s="53"/>
      <c r="Y10" s="52"/>
      <c r="Z10" s="60" t="s">
        <v>25</v>
      </c>
    </row>
    <row r="11" spans="1:26" ht="18" customHeight="1" thickBot="1">
      <c r="A11" s="28"/>
      <c r="B11" s="23">
        <v>4</v>
      </c>
      <c r="C11" s="57"/>
      <c r="D11" s="58"/>
      <c r="E11" s="68" t="s">
        <v>38</v>
      </c>
      <c r="F11" s="34">
        <v>1</v>
      </c>
      <c r="G11" s="25">
        <f t="shared" si="5"/>
        <v>15300</v>
      </c>
      <c r="H11" s="24">
        <v>14800</v>
      </c>
      <c r="I11" s="64">
        <v>11500</v>
      </c>
      <c r="J11" s="29">
        <v>0</v>
      </c>
      <c r="K11" s="30">
        <v>0.1166</v>
      </c>
      <c r="L11" s="31"/>
      <c r="M11" s="31">
        <v>0</v>
      </c>
      <c r="N11" s="27">
        <f t="shared" si="6"/>
        <v>444</v>
      </c>
      <c r="O11" s="26"/>
      <c r="P11" s="32">
        <f t="shared" si="0"/>
        <v>2321.2200000000003</v>
      </c>
      <c r="Q11" s="32">
        <f t="shared" si="1"/>
        <v>0</v>
      </c>
      <c r="R11" s="32">
        <f t="shared" si="2"/>
        <v>15834.779999999999</v>
      </c>
      <c r="S11" s="32">
        <f t="shared" si="3"/>
        <v>2533.5647999999997</v>
      </c>
      <c r="T11" s="33">
        <f t="shared" si="7"/>
        <v>153</v>
      </c>
      <c r="U11" s="41">
        <f t="shared" si="8"/>
        <v>-2151.7847999999999</v>
      </c>
      <c r="V11" s="43">
        <f t="shared" si="4"/>
        <v>-0.14063952941176469</v>
      </c>
      <c r="W11" s="37"/>
      <c r="X11" s="53"/>
      <c r="Y11" s="52" t="s">
        <v>26</v>
      </c>
      <c r="Z11" s="59" t="s">
        <v>23</v>
      </c>
    </row>
    <row r="12" spans="1:26" ht="18" customHeight="1">
      <c r="A12" s="28"/>
      <c r="B12" s="23"/>
      <c r="C12" s="114"/>
      <c r="D12" s="116"/>
      <c r="E12" s="54"/>
      <c r="F12" s="34"/>
      <c r="G12" s="25"/>
      <c r="H12" s="24"/>
      <c r="I12" s="25"/>
      <c r="J12" s="29"/>
      <c r="K12" s="30"/>
      <c r="L12" s="31"/>
      <c r="M12" s="31"/>
      <c r="N12" s="27"/>
      <c r="O12" s="26"/>
      <c r="P12" s="32"/>
      <c r="Q12" s="32"/>
      <c r="R12" s="32"/>
      <c r="S12" s="32"/>
      <c r="T12" s="33"/>
      <c r="U12" s="41"/>
      <c r="V12" s="43"/>
      <c r="W12" s="37"/>
      <c r="X12" s="53"/>
      <c r="Y12" s="52"/>
      <c r="Z12" s="36"/>
    </row>
    <row r="13" spans="1:26" ht="18" customHeight="1">
      <c r="A13" s="8"/>
      <c r="B13" s="8"/>
      <c r="D13" s="3" t="s">
        <v>21</v>
      </c>
      <c r="E13" s="3"/>
      <c r="F13" s="3" t="s">
        <v>19</v>
      </c>
      <c r="G13" s="9"/>
      <c r="H13" s="9"/>
      <c r="I13" s="9"/>
      <c r="J13" s="18"/>
      <c r="K13" s="10"/>
      <c r="L13" s="11"/>
      <c r="M13" s="11"/>
      <c r="N13" s="9"/>
      <c r="O13" s="9"/>
      <c r="P13" s="9"/>
      <c r="Q13" s="9"/>
      <c r="R13" s="9"/>
      <c r="S13" s="9"/>
      <c r="T13" s="9"/>
      <c r="U13" s="9"/>
      <c r="V13" s="12"/>
      <c r="W13" s="12"/>
      <c r="X13" s="14"/>
      <c r="Y13" s="14"/>
      <c r="Z13" s="14"/>
    </row>
    <row r="14" spans="1:26" ht="18.75" customHeight="1">
      <c r="A14" s="8"/>
      <c r="B14" s="8"/>
      <c r="C14" s="8"/>
      <c r="D14" s="8"/>
      <c r="E14" s="3"/>
      <c r="F14" s="3"/>
      <c r="G14" s="9"/>
      <c r="H14" s="9"/>
      <c r="I14" s="9"/>
      <c r="J14" s="18"/>
      <c r="K14" s="8"/>
      <c r="L14" s="11"/>
      <c r="M14" s="11"/>
      <c r="N14" s="9"/>
      <c r="O14" s="9"/>
      <c r="P14" s="8"/>
      <c r="Q14" s="8"/>
      <c r="R14" s="8"/>
      <c r="S14" s="8"/>
      <c r="T14" s="8"/>
      <c r="U14" s="8"/>
      <c r="V14" s="3"/>
      <c r="W14" s="3"/>
      <c r="X14" s="14"/>
      <c r="Y14" s="14"/>
      <c r="Z14" s="14"/>
    </row>
    <row r="15" spans="1:26" ht="18.75" customHeight="1">
      <c r="A15" s="8"/>
      <c r="B15" s="8"/>
      <c r="C15" s="8"/>
      <c r="D15" s="8"/>
      <c r="E15" s="3"/>
      <c r="F15" s="3"/>
      <c r="G15" s="9"/>
      <c r="H15" s="9"/>
      <c r="I15" s="9"/>
      <c r="J15" s="18"/>
      <c r="K15" s="8"/>
      <c r="L15" s="11"/>
      <c r="M15" s="11"/>
      <c r="N15" s="9"/>
      <c r="O15" s="9"/>
      <c r="P15" s="8"/>
      <c r="Q15" s="8"/>
      <c r="R15" s="8"/>
      <c r="S15" s="8"/>
      <c r="T15" s="8"/>
      <c r="U15" s="8"/>
      <c r="V15" s="3"/>
      <c r="W15" s="3"/>
      <c r="X15" s="14"/>
      <c r="Y15" s="14"/>
      <c r="Z15" s="14"/>
    </row>
    <row r="16" spans="1:26" ht="18.75" customHeight="1">
      <c r="A16" s="8"/>
      <c r="B16" s="8"/>
      <c r="C16" s="8"/>
      <c r="D16" s="8"/>
      <c r="E16" s="3"/>
      <c r="F16" s="3"/>
      <c r="G16" s="9"/>
      <c r="H16" s="9"/>
      <c r="I16" s="9"/>
      <c r="J16" s="18"/>
      <c r="K16" s="8"/>
      <c r="L16" s="11"/>
      <c r="M16" s="11"/>
      <c r="N16" s="9"/>
      <c r="O16" s="9"/>
      <c r="P16" s="8"/>
      <c r="Q16" s="8"/>
      <c r="R16" s="8"/>
      <c r="S16" s="8"/>
      <c r="T16" s="8"/>
      <c r="U16" s="8"/>
      <c r="V16" s="3"/>
      <c r="W16" s="3"/>
      <c r="X16" s="14"/>
      <c r="Y16" s="14"/>
      <c r="Z16" s="14"/>
    </row>
    <row r="17" spans="1:26" ht="18.75" customHeight="1">
      <c r="A17" s="8"/>
      <c r="B17" s="8"/>
      <c r="C17" s="8"/>
      <c r="D17" s="140" t="s">
        <v>50</v>
      </c>
      <c r="E17" s="141"/>
      <c r="F17" s="142">
        <v>48000</v>
      </c>
      <c r="G17" s="143" t="s">
        <v>45</v>
      </c>
      <c r="H17" s="141" t="s">
        <v>46</v>
      </c>
      <c r="I17" s="73" t="s">
        <v>47</v>
      </c>
      <c r="J17" s="18"/>
      <c r="K17" s="8"/>
      <c r="L17" s="11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 thickBot="1">
      <c r="A18" s="8"/>
      <c r="B18" s="8"/>
      <c r="C18" s="8"/>
      <c r="D18" s="135"/>
      <c r="E18" s="133"/>
      <c r="F18" s="137"/>
      <c r="G18" s="139"/>
      <c r="H18" s="133"/>
      <c r="I18" s="74" t="s">
        <v>48</v>
      </c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>
      <c r="A19" s="8"/>
      <c r="B19" s="8"/>
      <c r="C19" s="8"/>
      <c r="D19" s="134" t="s">
        <v>51</v>
      </c>
      <c r="E19" s="132"/>
      <c r="F19" s="136">
        <v>27000</v>
      </c>
      <c r="G19" s="138" t="s">
        <v>45</v>
      </c>
      <c r="H19" s="132" t="s">
        <v>46</v>
      </c>
      <c r="I19" s="73" t="s">
        <v>47</v>
      </c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 thickBot="1">
      <c r="A20" s="8"/>
      <c r="B20" s="8"/>
      <c r="C20" s="8"/>
      <c r="D20" s="135"/>
      <c r="E20" s="133"/>
      <c r="F20" s="137"/>
      <c r="G20" s="139"/>
      <c r="H20" s="133"/>
      <c r="I20" s="74" t="s">
        <v>48</v>
      </c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>
      <c r="A21" s="8"/>
      <c r="B21" s="8"/>
      <c r="C21" s="8"/>
      <c r="D21" s="134" t="s">
        <v>52</v>
      </c>
      <c r="E21" s="132"/>
      <c r="F21" s="136">
        <v>15800</v>
      </c>
      <c r="G21" s="138" t="s">
        <v>45</v>
      </c>
      <c r="H21" s="132" t="s">
        <v>46</v>
      </c>
      <c r="I21" s="73" t="s">
        <v>47</v>
      </c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 thickBot="1">
      <c r="A22" s="8"/>
      <c r="B22" s="8"/>
      <c r="C22" s="8"/>
      <c r="D22" s="135"/>
      <c r="E22" s="133"/>
      <c r="F22" s="137"/>
      <c r="G22" s="139"/>
      <c r="H22" s="133"/>
      <c r="I22" s="74" t="s">
        <v>48</v>
      </c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8"/>
      <c r="C23" s="8"/>
      <c r="D23" s="144" t="s">
        <v>53</v>
      </c>
      <c r="E23" s="146"/>
      <c r="F23" s="148">
        <v>11500</v>
      </c>
      <c r="G23" s="150" t="s">
        <v>45</v>
      </c>
      <c r="H23" s="146" t="s">
        <v>46</v>
      </c>
      <c r="I23" s="75" t="s">
        <v>47</v>
      </c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 thickBot="1">
      <c r="A24" s="8"/>
      <c r="B24" s="8"/>
      <c r="C24" s="8"/>
      <c r="D24" s="145"/>
      <c r="E24" s="147"/>
      <c r="F24" s="149"/>
      <c r="G24" s="151"/>
      <c r="H24" s="147"/>
      <c r="I24" s="76" t="s">
        <v>49</v>
      </c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5" customHeight="1">
      <c r="X853" s="14"/>
      <c r="Y853" s="14"/>
      <c r="Z853" s="14"/>
    </row>
  </sheetData>
  <mergeCells count="25">
    <mergeCell ref="G17:G18"/>
    <mergeCell ref="H17:H18"/>
    <mergeCell ref="G21:G22"/>
    <mergeCell ref="H21:H22"/>
    <mergeCell ref="D23:D24"/>
    <mergeCell ref="E23:E24"/>
    <mergeCell ref="F23:F24"/>
    <mergeCell ref="G23:G24"/>
    <mergeCell ref="H23:H24"/>
    <mergeCell ref="H19:H20"/>
    <mergeCell ref="D21:D22"/>
    <mergeCell ref="E21:E22"/>
    <mergeCell ref="F21:F22"/>
    <mergeCell ref="B2:N5"/>
    <mergeCell ref="C7:D7"/>
    <mergeCell ref="C8:D8"/>
    <mergeCell ref="C9:D9"/>
    <mergeCell ref="D19:D20"/>
    <mergeCell ref="E19:E20"/>
    <mergeCell ref="F19:F20"/>
    <mergeCell ref="G19:G20"/>
    <mergeCell ref="C12:D12"/>
    <mergeCell ref="D17:D18"/>
    <mergeCell ref="E17:E18"/>
    <mergeCell ref="F17:F18"/>
  </mergeCells>
  <phoneticPr fontId="1" type="noConversion"/>
  <hyperlinks>
    <hyperlink ref="Z11" r:id="rId1" xr:uid="{8C6A2F98-BD62-4CB3-A9FD-B751230CE3C9}"/>
    <hyperlink ref="Z10" r:id="rId2" xr:uid="{2D44DCAA-40B8-450F-BA00-DB7A10342AC1}"/>
    <hyperlink ref="Y11" r:id="rId3" xr:uid="{9EC3D016-76BC-4F28-9BE2-F59C8A9C4DF1}"/>
    <hyperlink ref="I17" r:id="rId4" display="javascript:;" xr:uid="{EA61AAFB-1A09-44A9-AFC7-6E5B1F6B9313}"/>
    <hyperlink ref="I18" r:id="rId5" display="javascript:;" xr:uid="{CA6F3FE1-24C2-4585-9CA1-883D6D82FFD3}"/>
    <hyperlink ref="I19" r:id="rId6" display="javascript:;" xr:uid="{AF6F36B2-6426-4060-886D-A7E25EC8AC15}"/>
    <hyperlink ref="I20" r:id="rId7" display="javascript:;" xr:uid="{3EC75776-C0F8-431A-BE68-26E849FFE1AE}"/>
    <hyperlink ref="I21" r:id="rId8" display="javascript:;" xr:uid="{972D2932-E4B7-429A-B27F-4AB560F2CB7B}"/>
    <hyperlink ref="I22" r:id="rId9" display="javascript:;" xr:uid="{853BEC32-49ED-4FCF-B7B4-E9079A68AFE9}"/>
    <hyperlink ref="I23" r:id="rId10" display="javascript:;" xr:uid="{5AF8393F-E1F2-45C9-8651-AACEF2BD5A9C}"/>
    <hyperlink ref="I24" r:id="rId11" display="javascript:;" xr:uid="{1E347E5F-BC1E-4C81-A845-952D787B2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제이비티</vt:lpstr>
      <vt:lpstr>쥬얼리프룻(비쌈)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2026-04-08T09:13:52Z</dcterms:modified>
</cp:coreProperties>
</file>